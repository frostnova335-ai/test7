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exlservicenam-my.sharepoint.com/personal/divya78738_exlservice_com/Documents/Desktop/Insights_Hub/LFS/"/>
    </mc:Choice>
  </mc:AlternateContent>
  <xr:revisionPtr revIDLastSave="150" documentId="8_{641A12C0-D851-4779-AC35-59A6492DFDA2}" xr6:coauthVersionLast="47" xr6:coauthVersionMax="47" xr10:uidLastSave="{D35BFE86-C2F4-4ECA-96FD-F699BA7F130B}"/>
  <bookViews>
    <workbookView minimized="1" xWindow="10280" yWindow="9860" windowWidth="7500" windowHeight="6000" xr2:uid="{00000000-000D-0000-FFFF-FFFF00000000}"/>
  </bookViews>
  <sheets>
    <sheet name="Sheet1" sheetId="1" r:id="rId1"/>
  </sheets>
  <definedNames>
    <definedName name="_xlnm._FilterDatabase" localSheetId="0" hidden="1">Sheet1!$A$1:$CD$29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3" i="1" l="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2" i="1"/>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alcChain>
</file>

<file path=xl/sharedStrings.xml><?xml version="1.0" encoding="utf-8"?>
<sst xmlns="http://schemas.openxmlformats.org/spreadsheetml/2006/main" count="777" uniqueCount="472">
  <si>
    <t>id</t>
  </si>
  <si>
    <t>transcriptId</t>
  </si>
  <si>
    <t>sub_problem_0</t>
  </si>
  <si>
    <t>sub_problem_solution0</t>
  </si>
  <si>
    <t>sub_problem_1</t>
  </si>
  <si>
    <t>sub_problem_solution1</t>
  </si>
  <si>
    <t>sub_problem_2</t>
  </si>
  <si>
    <t>sub_problem_solution2</t>
  </si>
  <si>
    <t>sub_problem_3</t>
  </si>
  <si>
    <t>sub_problem_solution3</t>
  </si>
  <si>
    <t>startTime</t>
  </si>
  <si>
    <t>endTime</t>
  </si>
  <si>
    <t>Filename</t>
  </si>
  <si>
    <t>transaction_id</t>
  </si>
  <si>
    <t>68d17ad59692de775c175021</t>
  </si>
  <si>
    <t>TXN_20250922T163319_vzxve3rgkb</t>
  </si>
  <si>
    <t>debit card team not available</t>
  </si>
  <si>
    <t>call back when team is available</t>
  </si>
  <si>
    <t>2025-07-29-11-18-05_679169192932_VOICE_a8b725f2-1ec8-4abd-819f-78a5ef170164</t>
  </si>
  <si>
    <t>68d17ad79692de775c175022</t>
  </si>
  <si>
    <t>TXN_20250922T163319_p8n5mgsozal</t>
  </si>
  <si>
    <t>verification code not received</t>
  </si>
  <si>
    <t>guide customer to share screen and verify email</t>
  </si>
  <si>
    <t>2025-07-29-12-20-52_679169199153_VOICE_258a7f8b-e75b-43d1-a4af-5147aad5c62d</t>
  </si>
  <si>
    <t>68d17ad89692de775c175023</t>
  </si>
  <si>
    <t>TXN_20250922T163320_48o911l8av2</t>
  </si>
  <si>
    <t>new card not received</t>
  </si>
  <si>
    <t>confirm new card shipment</t>
  </si>
  <si>
    <t>multiple unauthorized charges</t>
  </si>
  <si>
    <t>inform debit card team about unauthorized charges</t>
  </si>
  <si>
    <t>2025-07-29-13-14-45_679169220564_VOICE_b5e2f5c5-8db0-4035-b887-43c7ea21bb50</t>
  </si>
  <si>
    <t>68d17ada9692de775c175025</t>
  </si>
  <si>
    <t>TXN_20250922T163320_onhrudw3lm</t>
  </si>
  <si>
    <t>email domain issue</t>
  </si>
  <si>
    <t>provide correct company code</t>
  </si>
  <si>
    <t>2025-07-29-13-27-47_679169230614_VOICE_5fe354b3-02ec-41cd-af27-2324bc8223ab</t>
  </si>
  <si>
    <t>68d17adc9692de775c175026</t>
  </si>
  <si>
    <t>TXN_20250922T163320_kj431umnaap</t>
  </si>
  <si>
    <t>verify health insurance status</t>
  </si>
  <si>
    <t>confirmed health insurance status</t>
  </si>
  <si>
    <t>confirm dental insurance details</t>
  </si>
  <si>
    <t>provided dental insurance details</t>
  </si>
  <si>
    <t>2025-07-29-13-29-07_679169230185_VOICE_5d2eeba2-1b7a-4532-9df8-b7105643c921</t>
  </si>
  <si>
    <t>68d17add9692de775c175027</t>
  </si>
  <si>
    <t>TXN_20250922T163320_luld45q9nqb</t>
  </si>
  <si>
    <t>card not active</t>
  </si>
  <si>
    <t>reactivate card</t>
  </si>
  <si>
    <t>system glitch</t>
  </si>
  <si>
    <t>fix system glitch</t>
  </si>
  <si>
    <t>2025-07-29-13-49-24_679169245845_VOICE_04ae147c-f807-4f36-ab55-0c41ba50f5bb</t>
  </si>
  <si>
    <t>68d17ade9692de775c175028</t>
  </si>
  <si>
    <t>TXN_20250922T163320_p3z641vf9v</t>
  </si>
  <si>
    <t>address change</t>
  </si>
  <si>
    <t>submit request to update address</t>
  </si>
  <si>
    <t>link bank account</t>
  </si>
  <si>
    <t>verify banking information</t>
  </si>
  <si>
    <t>2025-07-29-13-55-21_679169250526_VOICE_c64d762f-e743-46d6-a3dd-87a7cfef54ec</t>
  </si>
  <si>
    <t>68d17adf9692de775c175029</t>
  </si>
  <si>
    <t>TXN_20250922T163320_n3ihcvcsz9d</t>
  </si>
  <si>
    <t>document processing delay</t>
  </si>
  <si>
    <t>reactivate card despite processing delay</t>
  </si>
  <si>
    <t>2025-07-29-14-11-59_679169267492_VOICE_d84af408-2cda-4795-99f1-28b30f3fcea2</t>
  </si>
  <si>
    <t>68d17ae19692de775c17502b</t>
  </si>
  <si>
    <t>TXN_20250922T163320_alj6vpw49ei</t>
  </si>
  <si>
    <t>account frozen</t>
  </si>
  <si>
    <t>explain account frozen issue</t>
  </si>
  <si>
    <t>no funds left</t>
  </si>
  <si>
    <t>explain zero balance</t>
  </si>
  <si>
    <t>2025-07-29-14-12-14_679169268900_VOICE_770aa53b-8ba7-4a98-ac93-f5837bd4ab09</t>
  </si>
  <si>
    <t>68d17ae29692de775c17502c</t>
  </si>
  <si>
    <t>TXN_20250922T163320_qyi8069kabp</t>
  </si>
  <si>
    <t>overpayment issue</t>
  </si>
  <si>
    <t>reactivate card after verifying refund</t>
  </si>
  <si>
    <t>refund not applied</t>
  </si>
  <si>
    <t>correct overpayment issue</t>
  </si>
  <si>
    <t>2025-07-29-14-17-44_679169268668_VOICE_2e72dcef-89b4-47fb-b1f3-38d697cdfe34</t>
  </si>
  <si>
    <t>2025-07-29-14-32-47_679169288269_VOICE_92abfc6b-0e08-461e-80cb-09bbde2935a5</t>
  </si>
  <si>
    <t>68d17ae89692de775c175031</t>
  </si>
  <si>
    <t>TXN_20250922T163320_bujci3610hu</t>
  </si>
  <si>
    <t>account balance</t>
  </si>
  <si>
    <t>provide account balance</t>
  </si>
  <si>
    <t>reimbursement process</t>
  </si>
  <si>
    <t>explain reimbursement process</t>
  </si>
  <si>
    <t>2025-07-29-14-39-16_679169291882_VOICE_e35fe645-6279-4c02-a6b6-de31318c2436</t>
  </si>
  <si>
    <t>68d17ae99692de775c175032</t>
  </si>
  <si>
    <t>TXN_20250922T163320_lpu81ouw8f</t>
  </si>
  <si>
    <t>billing issue</t>
  </si>
  <si>
    <t>transfer to billing department</t>
  </si>
  <si>
    <t>copay assistance not applied</t>
  </si>
  <si>
    <t>connect with copay assistance department</t>
  </si>
  <si>
    <t>2025-07-29-14-46-43_679169275572_VOICE_7e2b2f5d-4a85-4d8e-8b27-2929703b78f8</t>
  </si>
  <si>
    <t>2025-07-29-15-07-38_679169334523_VOICE_af0cb2ee-28a4-4e90-8e28-c8a63493cc88</t>
  </si>
  <si>
    <t>68d17aed9692de775c175035</t>
  </si>
  <si>
    <t>TXN_20250922T163320_0ce4ijnrwyu</t>
  </si>
  <si>
    <t>missing documentation for charge</t>
  </si>
  <si>
    <t>upload required documentation</t>
  </si>
  <si>
    <t>document password protected</t>
  </si>
  <si>
    <t>send picture of document</t>
  </si>
  <si>
    <t>2025-07-29-15-11-47_679169326420_VOICE_ea4b7555-f1cf-4b49-bd20-ea1cc00749bd</t>
  </si>
  <si>
    <t>68d17aee9692de775c175036</t>
  </si>
  <si>
    <t>TXN_20250922T163320_36et8gn1l7z</t>
  </si>
  <si>
    <t>understand payment slips</t>
  </si>
  <si>
    <t>explain payment slips usage</t>
  </si>
  <si>
    <t>2025-07-29-15-36-13_679169376353_VOICE_804d9669-792d-40fc-9629-79ef1c8fa1f2</t>
  </si>
  <si>
    <t>68d17aef9692de775c175037</t>
  </si>
  <si>
    <t>TXN_20250922T163320_khh73gp2aoa</t>
  </si>
  <si>
    <t>check card status for appointment</t>
  </si>
  <si>
    <t>verify card activation for appointment</t>
  </si>
  <si>
    <t>2025-07-29-15-42-43_679169385945_VOICE_b8f13ef9-c2c5-4642-84f6-935c9bad84b1</t>
  </si>
  <si>
    <t>68d17af19692de775c175039</t>
  </si>
  <si>
    <t>TXN_20250922T163320_iu0nhj8uwx</t>
  </si>
  <si>
    <t>unable to pay online</t>
  </si>
  <si>
    <t>send check or money order</t>
  </si>
  <si>
    <t>understanding grace period</t>
  </si>
  <si>
    <t>explain grace period and deadlines</t>
  </si>
  <si>
    <t>2025-07-29-16-00-54_679169408101_VOICE_9c6918ee-6d4c-4125-aef8-d552c8eab105</t>
  </si>
  <si>
    <t>card not received</t>
  </si>
  <si>
    <t>68d17af49692de775c17503c</t>
  </si>
  <si>
    <t>TXN_20250922T163320_q4qdpt9ykm</t>
  </si>
  <si>
    <t>reimbursement for out-of-pocket expenses</t>
  </si>
  <si>
    <t>file claim online or via fax/mail</t>
  </si>
  <si>
    <t>2025-07-29-16-06-00_679169416164_VOICE_069df050-a999-4438-8384-0e6493bd6189</t>
  </si>
  <si>
    <t>68d17af59692de775c17503d</t>
  </si>
  <si>
    <t>TXN_20250922T163320_xqvop91b45r</t>
  </si>
  <si>
    <t>how to check balance online</t>
  </si>
  <si>
    <t>create online account and download app</t>
  </si>
  <si>
    <t>2025-07-29-16-06-31_679169418367_VOICE_7e03a8cd-ed17-4071-8c46-3f18611e5a67</t>
  </si>
  <si>
    <t>68d17af79692de775c17503e</t>
  </si>
  <si>
    <t>TXN_20250922T163320_ju01ui6ax7g</t>
  </si>
  <si>
    <t>transaction status</t>
  </si>
  <si>
    <t>check transaction status</t>
  </si>
  <si>
    <t>linking bank account</t>
  </si>
  <si>
    <t>confirm linking process</t>
  </si>
  <si>
    <t>2025-07-29-16-12-57_679169425997_VOICE_89b19164-5773-45c8-a73c-68bee125ee17</t>
  </si>
  <si>
    <t>68d17afc9692de775c175043</t>
  </si>
  <si>
    <t>TXN_20250922T163320_8ka9c2bj3qx</t>
  </si>
  <si>
    <t>payment denial</t>
  </si>
  <si>
    <t>check transaction history</t>
  </si>
  <si>
    <t>card not reinstated</t>
  </si>
  <si>
    <t>confirm card reinstatement</t>
  </si>
  <si>
    <t>2025-07-29-16-43-53_679169470591_VOICE_8bf1a8cb-317b-4922-9114-2b137bf352e0</t>
  </si>
  <si>
    <t>68d17aff9692de775c175046</t>
  </si>
  <si>
    <t>TXN_20250922T163320_t137iv2ivv</t>
  </si>
  <si>
    <t>unable to find closure link</t>
  </si>
  <si>
    <t>check administrative forms for closure form</t>
  </si>
  <si>
    <t>form submission method</t>
  </si>
  <si>
    <t>provide email for form submission</t>
  </si>
  <si>
    <t>2025-07-29-16-58-14_679169485233_VOICE_01f5357f-4e7d-47d8-8e1e-7cf555df79b0</t>
  </si>
  <si>
    <t>68d17b019692de775c175047</t>
  </si>
  <si>
    <t>TXN_20250922T163320_h7r7pbm0uv6</t>
  </si>
  <si>
    <t>confusion about linking accounts</t>
  </si>
  <si>
    <t>explain difference between Cobra and Hsa accounts</t>
  </si>
  <si>
    <t>verification of bank account information</t>
  </si>
  <si>
    <t>confirm need to re-enter bank information</t>
  </si>
  <si>
    <t>2025-07-29-17-11-15_679169499758_VOICE_ae758d51-55cb-4934-a238-10a9cb6701c6</t>
  </si>
  <si>
    <t>68d17b029692de775c175048</t>
  </si>
  <si>
    <t>TXN_20250922T163320_q9mi23vja5h</t>
  </si>
  <si>
    <t>wait a few more days or issue new card</t>
  </si>
  <si>
    <t>address verification</t>
  </si>
  <si>
    <t>confirm address on file</t>
  </si>
  <si>
    <t>2025-07-29-17-22-02_679169512136_VOICE_a2de9186-c1de-4ec1-be27-1065ed099313</t>
  </si>
  <si>
    <t>68d17b039692de775c175049</t>
  </si>
  <si>
    <t>TXN_20250922T163320_3u7z0i7j9n5</t>
  </si>
  <si>
    <t>provider did not receive payment</t>
  </si>
  <si>
    <t>contact provider for payment confirmation</t>
  </si>
  <si>
    <t>no response to faxes</t>
  </si>
  <si>
    <t>agent unable to explain lack of response</t>
  </si>
  <si>
    <t>2025-07-29-17-22-55_679169515026_VOICE_34a00203-cd70-4014-a840-3db6b8f6eb22</t>
  </si>
  <si>
    <t>68d17b059692de775c17504b</t>
  </si>
  <si>
    <t>TXN_20250922T163320_7thx4xlr8uy</t>
  </si>
  <si>
    <t>unable to find account</t>
  </si>
  <si>
    <t>reach out to backend team</t>
  </si>
  <si>
    <t>2025-07-29-17-32-22_679169508889_VOICE_6ba8c23b-8700-4f31-b845-9ea36ba063e3</t>
  </si>
  <si>
    <t>68d17b069692de775c17504c</t>
  </si>
  <si>
    <t>TXN_20250922T163320_vp6xg437wdk</t>
  </si>
  <si>
    <t>account verification process too lengthy</t>
  </si>
  <si>
    <t>relay feedback to supervisor</t>
  </si>
  <si>
    <t>card setup issue</t>
  </si>
  <si>
    <t>advise to contact employer</t>
  </si>
  <si>
    <t>2025-07-29-17-35-29_679169531745_VOICE_0fe7c7df-6125-4730-98e9-6ca1cb547dd0</t>
  </si>
  <si>
    <t>68d17b079692de775c17504d</t>
  </si>
  <si>
    <t>TXN_20250922T163320_0v0sibi1vvf</t>
  </si>
  <si>
    <t>funds flagged as fraud</t>
  </si>
  <si>
    <t>send email to fraud team</t>
  </si>
  <si>
    <t>2025-07-29-17-38-43_679169534493_VOICE_566eb876-79f7-4206-8a35-670ec84a8a08</t>
  </si>
  <si>
    <t>68d17b099692de775c17504f</t>
  </si>
  <si>
    <t>TXN_20250922T163320_uc3uhszwjd</t>
  </si>
  <si>
    <t>verify email and phone number</t>
  </si>
  <si>
    <t>account not created</t>
  </si>
  <si>
    <t>guide through account creation</t>
  </si>
  <si>
    <t>2025-07-29-17-52-52_679169554323_VOICE_75bad488-678a-4bb6-836e-9ad1ddbffc13</t>
  </si>
  <si>
    <t>2025-07-29-18-15-57_679348588612_VOICE_4784d863-efea-4eb4-941b-73a08338b02a</t>
  </si>
  <si>
    <t>Anger</t>
  </si>
  <si>
    <t>The customer is frustrated and upset about the fraudulent transactions on their account, and is actively reporting the issue and seeking resolution. They express concern that they are not liable for the purchases and want the transactions canceled.</t>
  </si>
  <si>
    <t>Neutral</t>
  </si>
  <si>
    <t>The customer's tone is calm and factual throughout the conversation. They provide information and answer questions, but do not express strong emotions such as frustration, disappointment, or happiness. The customer's language is polite and cooperative, but lacks enthusiasm or excitement.</t>
  </si>
  <si>
    <t>The customer expresses frustration and annoyance throughout the conversation, particularly when discussing the unauthorized charges on their debit card. They mention that the issue has been ongoing and that they have not used the card, implying a sense of helplessness and irritation.</t>
  </si>
  <si>
    <t>The customer's tone is calm and factual throughout the conversation. They provide necessary information and ask questions to clarify the process, but do not express any strong emotions such as frustration, disappointment, or happiness.</t>
  </si>
  <si>
    <t>The customer's tone is calm and factual throughout the conversation. They ask questions and seek clarification, but do not express strong emotions such as anger, sadness, or frustration. The customer's language is polite and appreciative, with phrases like 'Thank you very much' and 'You have a great day'.</t>
  </si>
  <si>
    <t>The customer expresses frustration and annoyance throughout the conversation, particularly when discussing the inconvenience caused by the glitch that made their card inactive. They also mention that they should have been notified about the issue, which adds to their sense of frustration.</t>
  </si>
  <si>
    <t>The customer's tone is calm and factual throughout the conversation. They provide necessary information, ask questions, and express frustration only when they are unable to edit their address online. The customer's language is clear and concise, indicating a neutral emotional state.</t>
  </si>
  <si>
    <t>The customer's tone is calm and factual throughout the conversation. They provide necessary information and ask questions to clarify the situation. Although they express frustration and disappointment at times, their language remains neutral and polite.</t>
  </si>
  <si>
    <t>The customer expresses frustration and annoyance throughout the conversation, particularly when discussing the issue with their account and the inability to pay their bills. They use phrases such as 'So the problem is that I would have paid this, but you guys have frozen my account' and 'I don't know why I'm not getting any paperwork in the mail saying that how much Bal I have and how much I', which convey a sense of anger and disappointment.</t>
  </si>
  <si>
    <t>The customer's tone is calm and factual throughout the conversation, with a focus on explaining the issue and seeking resolution. They use phrases like 'I'm not sure I understand' and 'I'm working on it right now,' which convey a sense of clarity and determination rather than strong emotions.</t>
  </si>
  <si>
    <t>The customer's tone is calm and factual throughout the conversation. They ask questions and seek clarification, but do not express strong emotions such as frustration, disappointment, or anxiety. The customer's language is direct and to the point, indicating a neutral emotional state.</t>
  </si>
  <si>
    <t>The customer expresses frustration and annoyance throughout the conversation, particularly when discussing the transaction and the billing process. They also show signs of disappointment and concern about the situation, but the primary emotion is anger due to the frustration and confusion caused by the transaction.</t>
  </si>
  <si>
    <t>The customer expresses frustration and annoyance throughout the conversation, particularly when discussing the need to upload a receipt and the password protection on the document. The customer uses phrases like 'I was upset with last year', 'Oh crap', and 'Oh God' to convey their emotions.</t>
  </si>
  <si>
    <t>Relief</t>
  </si>
  <si>
    <t>The customer expresses relief and gratitude throughout the conversation, especially when the support agent explains that the account is up to date and the automatic payment system is in place. The customer also mentions that they were 'panicking' and that the agent's help made them feel'much better'.</t>
  </si>
  <si>
    <t>Joy</t>
  </si>
  <si>
    <t>The customer expresses happiness and relief throughout the conversation, especially when the issue is resolved and the debit card is activated. The customer's tone is positive and appreciative, using phrases like 'Yay, okay, thank you so much' and 'Thank you so much for your help as well'.</t>
  </si>
  <si>
    <t>The customer's tone is calm and factual throughout the conversation. They express frustration and confusion about the issue with their account, but their language remains neutral and polite. They also show a willingness to cooperate and resolve the issue, which suggests a neutral emotional state.</t>
  </si>
  <si>
    <t>Sadness</t>
  </si>
  <si>
    <t>The customer expresses disappointment and frustration throughout the conversation, particularly when discussing the issue with the debit card. The customer apologizes multiple times and seems to be experiencing regret or emotional pain due to the situation.</t>
  </si>
  <si>
    <t>The customer's tone is calm and factual throughout the conversation. They provide necessary information and ask questions in a polite manner, without expressing any strong emotions such as anger, sadness, or joy.</t>
  </si>
  <si>
    <t>The customer expresses frustration and annoyance throughout the conversation, particularly when discussing the issue with their account and the delay in the transaction. They also show signs of being upset when trying to provide information and being asked to confirm details.</t>
  </si>
  <si>
    <t>The customer expresses frustration and annoyance throughout the conversation, particularly when discussing the denial of payment for a medical expense and the delay in reinstating their debit card. They use phrases like 'this is ridiculous,' 'I want to know what the balance is in my account,' and 'I'm trying to get hell ST ST paid off,' indicating their growing frustration and anger.</t>
  </si>
  <si>
    <t>The customer's tone is calm and factual throughout the conversation. They ask questions and seek clarification, but do not express any strong emotions such as frustration, anger, or disappointment. The customer's language is polite and appreciative, indicating a neutral emotional state.</t>
  </si>
  <si>
    <t>The customer expresses frustration and annoyance throughout the conversation, particularly when discussing the need to re-enter information and the confusion around linking their bank account to their HSA and Cobra accounts. They use phrases like 'it's so confusing' and 'I don't think I need to be' to convey their frustration.</t>
  </si>
  <si>
    <t>The customer's tone is calm and factual throughout the conversation, with a focus on resolving the issue of the missing debit card. They express frustration and disappointment, but it's not intense enough to be classified as anger. The customer's language is polite and cooperative, indicating a neutral emotional state.</t>
  </si>
  <si>
    <t>The customer expresses frustration and annoyance throughout the conversation, particularly when discussing the lack of response to their faxes and the mystery charge on their debit card. They use strong language, such as 'terrible customer service' and 'I'm being responsible for this mystery', indicating their anger and disappointment.</t>
  </si>
  <si>
    <t>The customer's tone is calm and factual throughout the conversation, with a focus on providing information and clarifying details. They ask questions and seek clarification, but do not express strong emotions or opinions.</t>
  </si>
  <si>
    <t>The customer expresses frustration and annoyance throughout the conversation, particularly when discussing the limitations of their Flex spending card and the inconvenience caused by the auto-pay setup. They also show signs of disappointment and disapproval when explaining the issue to the support agent.</t>
  </si>
  <si>
    <t>The customer's tone is calm and factual throughout the conversation. They provide necessary information and confirm transactions without expressing any strong emotions. The customer's language is straightforward and cooperative, indicating a neutral emotional state.</t>
  </si>
  <si>
    <t>The customer expresses frustration and annoyance throughout the conversation, particularly when discussing the issue with the online portal and the verification code. They also show signs of being stuck and seeking a solution, which indicates a sense of anger or frustration.</t>
  </si>
  <si>
    <t>The customer expresses frustration and dissatisfaction with the unauthorized charges, but there is no clear intent to cancel the account. The customer is cooperative and willing to wait for assistance.</t>
  </si>
  <si>
    <t>The customer expresses frustration and dissatisfaction with the service, but does not explicitly state an intent to cancel. However, the tone suggests a negative experience that may lead to churn.</t>
  </si>
  <si>
    <t>The agent was very helpful and knowledgeable about the account, providing clear explanations and resolving the issue of the suspended debit card in a timely manner.</t>
  </si>
  <si>
    <t>The customer expressed frustration and confusion, but ultimately remained engaged and cooperative throughout the conversation. They apologized for their initial frustration and seemed to understand the process for uploading the required document.</t>
  </si>
  <si>
    <t>The agent was patient and understanding, and provided clear instructions on how to resolve the issue with the suspended card. However, there were some technical difficulties with uploading the receipt, which caused some frustration.</t>
  </si>
  <si>
    <t>The customer expresses relief and gratitude for the assistance provided, indicating a positive interaction with the service.</t>
  </si>
  <si>
    <t>The agent provided clear and concise explanations, alleviated concerns, and ensured the customer's mother's insurance coverage was up to date, resulting in a high level of satisfaction.</t>
  </si>
  <si>
    <t>The agent, Denise, was very helpful and efficient in resolving the issue with the customer's debit card, providing a positive experience and ensuring that the customer's account was cleared and her card was active before the end of the call.</t>
  </si>
  <si>
    <t>The customer is frustrated with the process, but the tone is more apologetic and inquiring than angry or dissatisfied. They express gratitude for the support and seem to be working towards a resolution.</t>
  </si>
  <si>
    <t>The agent provided clear and helpful guidance on how to resolve the issue with the account, including explaining the reason for the suspension and the process for paying back the account.</t>
  </si>
  <si>
    <t>The agent was able to successfully request a debit card and create a case for it, resolving the customer's issue in a timely manner.</t>
  </si>
  <si>
    <t>The customer expresses frustration and dissatisfaction with the banking information process, but no clear intent to cancel is explicitly stated.</t>
  </si>
  <si>
    <t>The customer expresses frustration and dissatisfaction with the support process, indicating a high risk of churn.</t>
  </si>
  <si>
    <t>The agent's inability to resolve the issue in a timely manner and provide clear explanations for the denial of payment, leading to frustration and a sense of being denied service.</t>
  </si>
  <si>
    <t>The customer is frustrated with the process and seems to be seeking a solution, rather than expressing intent to cancel or leave.</t>
  </si>
  <si>
    <t>The agent was unable to provide a clear and direct answer to the customer's question regarding the payment process for Cobra premiums, leading to confusion and frustration. However, the agent did offer to transfer the customer to the HSA department, which was a helpful and customer-centric approach.</t>
  </si>
  <si>
    <t>The customer expresses strong frustration and dissatisfaction with the customer service, feeling that they are being held responsible for a mystery charge without any clear explanation or resolution. They also mention that they have sent multiple faxes and made phone calls without receiving a response, which suggests a lack of effort from the company to address their concerns.</t>
  </si>
  <si>
    <t>The agent, Roger, was patient and helpful in trying to resolve the issue, but unfortunately, he was unable to find any information about the check, so he had to put the customer on hold to reach out to the backend team for further assistance.</t>
  </si>
  <si>
    <t>The customer expresses frustration and dissatisfaction with the current setup of their account and the process of verifying their information. They seem to be unhappy with the limitations of their card usage and the time it's taking to resolve the issue. However, there's no clear intent to cancel or leave the service.</t>
  </si>
  <si>
    <t>The customer was not satisfied with the explanation provided by the agent regarding the limitations of her Flex Spending card, specifically regarding the coverage of over-the-counter medications.</t>
  </si>
  <si>
    <t>The agent was patient and helpful in guiding me through the process of creating an online account for my husband's HSA, and was willing to assist me in resolving the issue even after the call was ended.</t>
  </si>
  <si>
    <t>Agent_ID</t>
  </si>
  <si>
    <t>Agent_Name</t>
  </si>
  <si>
    <t>Churn_Signals</t>
  </si>
  <si>
    <t>Ownership</t>
  </si>
  <si>
    <t>Active_Listening</t>
  </si>
  <si>
    <t>Empathy</t>
  </si>
  <si>
    <t>Right_Probing</t>
  </si>
  <si>
    <t>Script_Adherence</t>
  </si>
  <si>
    <t>Escalation_Rate</t>
  </si>
  <si>
    <t>NPS_Reasoning</t>
  </si>
  <si>
    <t>Summary</t>
  </si>
  <si>
    <t>Emotion</t>
  </si>
  <si>
    <t>Emotion_Reasoning</t>
  </si>
  <si>
    <t>Churn_Propensity</t>
  </si>
  <si>
    <t>Churn_Reasoning</t>
  </si>
  <si>
    <t>NPS</t>
  </si>
  <si>
    <t>Rose Cooper</t>
  </si>
  <si>
    <t>Alice Walker</t>
  </si>
  <si>
    <t>Speaker1 : Thank you for calling Inspire Financial. My name is Jacqueline. In order to better assist you, may I please have your member number, which may be the same as your Social Security number, please?
Speaker2 : It's A037543853.
Speaker1 : He, may I have your full name please? It's ANNSON. What type of account are you calling in for today?
Speaker2 : My health savings account.
Speaker1 : Thank you. Will you please verify your current address?
Speaker2 : It's 41 Forest Hill Drive, Cherry Hill, new Jersey, 08003.
Speaker1 : Thank you. And also, will he please verify the last four digits of your inspired debit card?
Speaker2 : The last four digits is 3368.
Speaker1 : Thank you. And just in case we need to call you for any reason with the best phone number to call.
Speaker2 : 856. 8574220.
Speaker1 : Just to confirm that's 856-85-7422.
Speaker2 : That's correct.
Speaker1 : Thank you. And how can I help you today, Miss Pan?
Speaker2 : I was looking at a bunch of transactions on my. Health savings account and I noticed that Transactions that showed up from July 26 to present day. I believe are fraudulent because there are a bunch of transactions from Amazon. That I did not make on my own personal account.
Speaker1 : I see. So you did not do that transaction? Yeah, there is. I'm looking online right now, 12345 transactions that were not, I did not make those purchases.
Speaker2 : Because I actually never made any. Purchases with my health savings account on Amazon.
Speaker1 : I see. So can you confirm the amount please? Is that $29,
Speaker2 : Yeah, just $29. I'm sorry.
Speaker1 : Each amount
Speaker2 : Each amount. Okay, so the 1st one I see is $29.63. The next one I see is $150.60. The next one is $56.86. There is one for $114.99 and then another one for $38.39. So those are all transactions that. Online. What I'm saying is that the origination date is from July 26 to present day. The most recent one was from 27, but I did not make any of those purchases.
Speaker1 : Okay, so. I understand that this is Some sort of fraudulent activity in your account that you are not doing the transaction. So what I can do is I can call our debit card team and have your card replaced just to make sure that there won't be any other. Activities happening on your account and as well as I might transfer you over to them so that the fines will be reversed.
Speaker2 : Okay, like the that was. Yeah, because again. I've never used this card. Online. I've only used it in person because I'm looking at all my terms and I've only used it in person like at a. At an approved like retail for For health purchases only. So I don't even know how it got online.
Speaker1 : I see. Okay. And no one also got additional or extension card for your card? No one. Okay, all right, so I do need to play Shin He for about three to 5 min.
Speaker2 : Okay.
Speaker1 : Thank you so much. Down the lamp piece. Thank you for patiently waiting, Miss Ban.
Speaker2 : Yes.
Speaker1 : I do apologize, but our debit card team is not yet open. It will be open. In an hour. So is it okay if I call you back and then patch you over with our debit card team later?
Speaker2 : Yes, so you'll give me a call back.
Speaker1 : Yes.
Speaker2 : Okay, yes, that's fine. If you can as soon as possible, just. So in the meantime, do you guys. Do you guys lock the card or? So that they For now.
Speaker1 : For now. Since our debit card team is not yet open. It will still be later on.
Speaker2 : So it means it's available for people to make purchases on. I just wanted to disclose that I'm not responsible because I'm. Reporting this as soon as I saw it this morning.
Speaker1 : But The last transaction last July 27. Was still pending on hold. So that means it will. If possible, it will not go through anymore.
Speaker2 : I don't know, I don't know what that means. I didn't make the purchase. So I just want to disclose the advice that if there's any purchases that's made now, since I'm letting notify your company right away. That I'm not liable for any purchases.
Speaker1 : Yes, we'll note of that, of course. Ma'am. So once we have our debit card team open, I will immediately call you back so that we'll have This Transaction should be canceled.
Speaker2 : Yes. Yes, please, because of all of the purchases that were made since July 26. 2025 are not my purchases.
Speaker1 : Okay. I understand. So we'll give you a callback after an hour or less than an hour once our debit card team are available.
Speaker2 : Okay, thank you.
Speaker1 : Thank you for your time. Anything else aside from this that I can assist?
Speaker2 : No, but I would expect, I expect a phone call back as soon as your debit team is available.
Speaker1 : Yeah. Yes, of course. I will just call you back later. Okay, thank you. Thank you so much for your time and thank you for calling Inspire Financial. You have a great day. Goodbye for now.</t>
  </si>
  <si>
    <t>report fraud</t>
  </si>
  <si>
    <t>Report fraud refers to notifying unauthorized transactions on an account.</t>
  </si>
  <si>
    <t>Report Fraud</t>
  </si>
  <si>
    <t>Fraud &amp; Investigation</t>
  </si>
  <si>
    <t>Speaker2 : Okay, so sorry about that. We will need to go about this a different way. So if you don't mind holding, give me three to 5 min. I'll get the card activated for you. Okay, Thank you. Thank you. Okay, thank you so much for holding in for your patience. The card has been activated and the last four digits of the card number itself is the pen in case you need to use it. Okay.
Speaker1 : Okay.
Speaker2 : And then you also said you weren't receiving the verification code to get online.
Speaker1 : Correct.
Speaker2 : What we can do is if you don't mind sharing your screen, we can go on the website together, inspire final.com, and we can take a look.
Speaker1 : Unfortunately, I can't do that because I only have my work. So I mean, I can do it on my phone, I guess. How do I share on my phone?
Speaker2 : When you're on the website, you can share it on your phone. What will happen is when you're on the member login screen, before you click Create profile, there should be a Share my screen option towards the bottom.
Speaker1 : I created the profile. I'm trying to verify my email. And it's just not sending the code to do that.
Speaker2 : Right. That's why we got to start from the beginning because there's no credentials created yet. Yeah, I'm sorry. No, you're fine. Let me see.
Speaker0 : Okay, so let me go to my. To the website I N S E I R A S S There we go.
Speaker2 : Just let me know when you're ready. Okay.
Speaker1 : Create a profile I'm sorry, you said when I go to create profile, do what?
Speaker2 : On that screen, there should be a share my screen option at the bottom. It's in smaller print.
Speaker1 : Okay.
Speaker2 : You'll select that, you'll agree, and it'll give you a four digit code to give it to me and we can. This together I'm sorry. 6690. Now I'm not able to take control of your screen, but I can follow along with you and highlight if I need to. So go ahead and enter your information. Take out the 3143. You don't need that.
Speaker0 : Okay. And then my date of birth. And then the car 2864.
Speaker2 : Okay.
Speaker1 : Okay. Go away
Speaker0 : And then
Speaker2 : And just out of curiosity, are you having the code go to your email or your phone?
Speaker1 : I think I started with the email. Because it asked me both of them, but the 1st one was. The email
Speaker2 : Okay. We can try if you don't mind having it text to you and see if it helps in that way. That's fine.
Speaker0 : For that
Speaker2 : Okay, so far so good.
Speaker1 : Okay.
Speaker0 : And text me
Speaker2 : There you go.
Speaker1 : Okay, and you can remind yourself later there's your wonderful balance.
Speaker2 : Your June 30 is what you have. The 2026 is what you have to use that by. And then September 30 you can file claims if need be by then if you still have funds left. And that would be for anything out of pocket that you incurred, cash, personal debit, credit card, dates of service between your plan dates.
Speaker1 : Okay, so the 1st date was. July one. Yeah. July one. Okay. Yeah. Thank you. You're welcome. Was there anything else I can assist you with? No, ma'am. You have a good day. You too. Thank you for calling Inspire Financial. You take care. All right. Bye bye. Bye bye.</t>
  </si>
  <si>
    <t>activate card</t>
  </si>
  <si>
    <t>Activate card refers to enabling a card for use.</t>
  </si>
  <si>
    <t>Activate Card</t>
  </si>
  <si>
    <t>Card Services</t>
  </si>
  <si>
    <t>Speaker2 : Thank you for calling Inspire Financial. My name is Natalie. To better assist you, may I have your 1st and last name with your zip code?
Speaker4 : Heather God 329. Oh, nine.
Speaker2 : Thank you for that. And Ms. Copy, will you verify your full address please?
Speaker4 : 1954 Middlebury Drive, Southeast, Palm Bay, Florida 329 Oh nine.
Speaker2 : Thank you and may just have the last four digits of your inspired debit card.
Speaker4 : Oh, hang on, let me go get it. Sorry.
Speaker2 : You Okay.
Speaker4 : 2606, but I did have them cancel this card. Keep getting unauthorized charges.
Speaker2 : I see just one more. So When you mentioned that, have the card canceled. Did we ship out a new card?
Speaker4 : Yeah, a new card was shipped last week. This kind of just recently has been happening. Well, at least. Large transactions. I guess it had happened in January and I missed it. And they've been helping me. It looks like the charge got canceled that was trying to go through on the 23rd, but then this morning I went to check and I see one pending on the 29th for the same amount. So. I'm not sure how it keeps trying to go through anyway.
Speaker2 : Okay, I'll be happy to check on that one right now. Before that, may I also have your callback number just in case we get disconnected?
Speaker4 : Yeah, it's 321 210. 2882.
Speaker2 : 321210. Two 82 Correct. May I just know as well? Do you happen to know the start or effective date of your account? You can just give me the month and year.
Speaker4 : Yeah, well, so the 1st thing that happened was January 11 and it posted on the 13th and it was, I think, like $41 and some odd cents. Um. But this month it's been. They've really been trying, I guess. Because it's been happening on the 23rd and now it's happening on the 29th.
Speaker2 : So I can confirm right now, Miss Hobby, that. A new card has been
Speaker4 : Okay.
Speaker2 : Okay, so. Just one moment. So there was an attempt to. Use the card as well at Amazon for 641 $0.20, but it's.
Speaker4 : I'm sorry, Jimmy, to cut you off, but yeah, they keep trying to use it at Amazon for 600 4120. It happened last week. It looks like it got canceled and then it's happening. Well, it looks like it's trying to happen today. It just shows pending.
Speaker2 : Yeah, I just see it as long as copy. So just to clarify, I just see here on the card system that the latest one that they attempted was on the 24th and it is already declining because the status is already lost or a lost card and the amount was for 542. This has been reported. So.
Speaker1 : As for this 641 and $0.20.
Speaker3 : I will just A I didn't know about the 501, but yeah, I, I haven't used this card at all like. Whoever is using it is not me. I'm not planning to use it anytime soon. Hopefully so. Basically every charge is unauthorized.
Speaker1 : And especially since it's from Amazon, since that is usually where the charges.
Speaker3 : Right. Yeah.
Speaker1 : So Be doing my analyst gray. I will just be getting clarification with our debit card team for this. I will be informing them about this. Yesterday there was another attempt and This has been taken out of the balance, so I'll try my best to see what we can do about this. Is it right If you stay in line for three to 5 min?
Speaker3 : Of course.
Speaker1 : Thank you so much. For your patience and I'm sorry for it to happen. So I'll get back to you just in a while.
Speaker4 : Okay.
Speaker1 : Thank you.</t>
  </si>
  <si>
    <t>report fraud refers to notifying unauthorized transactions on an account.</t>
  </si>
  <si>
    <t>Speaker2 : Thank you for calling participant services. My name is Nina. I'd be happy to assist you. Could you please provide your full name?
Speaker1 : Craig Michael Johnson.
Speaker2 : Okay, and how would you like for me to refer to you during this call?
Speaker1 : Craig
Speaker2 : Okay, Craig, who do you work for?
Speaker1 : The state of Minnesota. Mdot
Speaker2 : Okay. And can I have your full mailing address, please?
Speaker1 : 3816 Jackson Road, Cloquet, minnesota, 55720.
Speaker2 : Okay, and just in case we get disconnected, what's a good callback number for you? 208 390.
Speaker1 : 0538.
Speaker2 : How can I assist you today?
Speaker1 : I'm trying to set up an account so I can upload some receipts. I talked to somebody last week and I emailed them, but I got a. Email back said that domain does not exist.
Speaker2 : Okay, sure, I can help you get registered. I just need you to 1st verify your member Id number, which is usually your employee Id number.
Speaker1 : Okay, you ready? Yes. 01142. 366i think it is. Hold on. Yes, that's correct. Thank you.
Speaker2 : And then I need the last four digits of your card number and the expiration date.
Speaker1 : It's 7185. 130.
Speaker2 : Okay, thank you. So go to bri web.com.
Speaker1 : I'm on that page, I think.
Speaker2 : Okay, are you under? I'm sorry, is that participant registration? Yes. Register an account What is the 1st thing that it's asking for?
Speaker1 : Well, the company code got it. So your company code is State of Mn. The S and the M N are capital and it's all one word. So that's capital. S T A T E O F M N. It's all capital, just the state. No, only the S and state.
Speaker2 : And the M and N at the end. When they ask you for your member Id number, it's going to be your. I'm sorry, hold on a 2nd. They logged me out here.
Speaker1 : Because it
Speaker2 : Time out
Speaker1 : It expired. I was trying to log in earlier.
Speaker0 : Yes.
Speaker1 : Member Id, registration Id.
Speaker2 : So your member Id is going to be that employee Id number you just gave me, plus the last four digits of your social.
Speaker1 : Okay, that went through and then.
Speaker2 : I'm sorry.
Speaker1 : It's asking for a login Id number and password. And so I can do, I make, and I just put my employee number for login Id. So that's something you're going to create if that's what you want to put. Just make sure that it meets the requirements. I do think that they ask for a capital, a lowercase.
Speaker2 : I'm not sure, honestly.
Speaker1 : Okay. This is telling me that I don't Oh yeah, it's yeah, but how do I open any link to it? Yeah. You didn't open it up yet. I open it, it won't go there. I think I can handle it from here.
Speaker2 : Okay, is there anything else on your account that I can assist you with other than the login?
Speaker1 : No, I just got to upload some receipts and that's it.
Speaker2 : Okay, sounds good. Well, thank you for calling participant services. Craig, have a great day. You too. Thanks. Bye. Thank you. Bye bye.
Speaker1 : The</t>
  </si>
  <si>
    <t>account setup</t>
  </si>
  <si>
    <t>Account setup refers to creating a new user account.</t>
  </si>
  <si>
    <t>Account Setup</t>
  </si>
  <si>
    <t>Account Management</t>
  </si>
  <si>
    <t>Speaker2 : Thank you for calling Inspire Financial. My name is Angela. In order to better assist you, may I have the account holder's name and zip code, please?
Speaker1 : My name is Kimberly D. Wotan. My zip code is 14867.
Speaker2 : Okay, perfect. Let me go ahead and get you pulled up here really quick. All righty, and I'll just have to have you secure the account. Can I have you confirm the rest of the address for me?
Speaker1 : It's 76 Cull Road in Newfield, new york, 14867.
Speaker2 : And then just the last four of your social.
Speaker1 : 0712.
Speaker2 : Okay, perfect. How can I help you today?
Speaker1 : So I have recently retired. I received my emeriti. Medical card that gives me the ability to pay for the insurance here. And I'm wanting to pay with that debit card. Or with that card. Yeah, debit card. Is that something that I can set up with you here?
Speaker2 : So unfortunately, we do not take any type of cards at all. So The only way that we accept payment. Yeah, the only way that we accept payment is. Linked to directly to a bank account or by check or money order.
Speaker1 : Oh. Hm.
Speaker2 : Yeah. Is it like what type for the card itself? What type of an account is it coming from? Is it like an Hsa or Fsa?
Speaker1 : I believe so. It's called Emeriti Retirement Health.
Speaker2 : Okay, so what I would do if I were you, if you can reach directly out to that company. And see if Like I know like our so our kind of. Our Funding Accounts that we have Like, so if people have like like a retiree reimbursement account or anything like that. I know how it works on our side is if they do have benefits that they're paying through us also. They can do one of two things. They can either. Pull the payments directly from the account. Like set it up on our website for it to come out of the account or they can like pay out of pocket and get reimbursed. So because that is a different company, I'm not sure what their policies would be, but I would definitely reach out to them and kind of see what the best way is since we don't accept the actual card and see if maybe you can get reimbursed or if they can just set up the payments directly with like one of their agents.
Speaker1 : Okay. So My husband and I both retired at the same time. So I just wanted to make sure that like right now we still have health insurance, correct? That is that what it's showing or are we because. It says the last postmark date is 08:30, 2025. Is that correct?
Speaker2 : So I am showing that the payment is 08:30. 2025 is the last day to post market. The account I brought up is only showing for dental just so that you do know.
Speaker1 : Oh. Okay. So what I'm seeing here is. And how much is that?
Speaker2 : 2739.
Speaker1 : Okay. Okay. All right. Yep. So medically I'm fine. It's the, this is dental. okay. Okay. All right. And is there anything different? With this versus what I've had in the past like. I don't know. Do they go ahead and Submit Does this go through Delta?
Speaker2 : Let me take a look here really quick. Yes, I am showing it's your Delta tool. Okay, so it's absolutely no different than anything that I've had before. Okay, that's good. Yeah.
Speaker1 : Okay, well now that I finally got my card, I will call them and find out what. What needs to happen. And I guess
Speaker2 : Yeah, yeah, just reach out to them and see if there's any way, you know, that you can make that payment like directly with maybe like a payment sent out to us. Or if you have to pay it out of pocket and can reimburse yourself. because that's how ours work on our side, just because we for some reason do not accept costs.
Speaker1 : Interesting. Okay. All right, well, thank you very much. I will, I will reach out and maybe look online. For that information. 1st
Speaker2 : Okay, sounds good. Was there anything else I could help you with?
Speaker1 : No, this is great. Thank you so much.
Speaker2 : Of course you have a great day.
Speaker1 : You as well. Bye bye. Thank you. Bye bye.</t>
  </si>
  <si>
    <t>payment method</t>
  </si>
  <si>
    <t>payment method refers to the way a customer pays for services.</t>
  </si>
  <si>
    <t>Payment Method</t>
  </si>
  <si>
    <t>Payments &amp; Transactions</t>
  </si>
  <si>
    <t>Speaker1 : Good morning. Thank you for calling Inspire Financial. My name is Cindy. Can I please have the account holder's 1st and last name?
Speaker2 : Tomas Hernandez.
Speaker1 : Thank you, Mr.. Hernandez. And can I get you to verify the last four of your social?
Speaker2 : 028. Thank you. And if you can verify your address, please. 2901 Pioneer Way Round Rock, Texas 7866. Thank you. And to secure the account, can you verify the last four numbers on your Tech Flex debit card? Not right now because my wife has it. Gotcha. And if I could get a good call back phone number please. Five and twelve 04:15 7593. Thank you. How can I help you today? Well, we've been trying to make some purchases for. Approved items On Amazon and every time we place an item on our list that gets declined.
Speaker1 : Okay, I have to secure the account if you don't have the card. Can you tell me what your payroll contribution is? The most recent one? And The date, the amount, and the date of your most recent payroll contribution or the most recent transaction.
Speaker2 : Okay, like I mentioned. The most recent transactions have been canceled from Amazon. I may be able to. I'm going to give you the card here. Let me see, I think I have it. Added on Amazon. My contributions are every month, every 1st of the month. When I get paid, my contributions are. I guess the minimum amount, whatever that is, I don't know.
Speaker1 : I'm not sure what the minimum is. Do you have the dollar amount of your contribution? $1.
Speaker2 : I changed it to $1.
Speaker1 : I don't see Gotcha. I don't see that amount.
Speaker2 : I actually changed it for this new coming year to not. Contribute at all because I can never use this and I always lose the money.
Speaker1 : Gotcha. Are you able to see the last four of the card? Because that's not the contribution amount that I see for this plan year.
Speaker2 : Yeah, okay. I'm gonna Your account Your payments Freedom F. S. 465.
Speaker1 : Thank you so much. Okay, so I mean, if you're trying to purchase things, your card is on, so your card is not.
Speaker2 : No, I understand that. But Amazon has Items that we need and they're listed at this Fsa, Fha approved. And When we go And put him on the card. You decline them.
Speaker1 : Well, it doesn't mean that we decline them. It means that just because Amazon says that they're Fsa eligible, their system could be saying that it's not Fsa eligible. Let me take a look and see if I can see any declines. Yeah, it's coming from their system.
Speaker0 : Okay, let's see here. That's your card. And
Speaker1 : Your card is not active, that's why it's not approving it. Did you just get a new card sent to you? Let's see here. 465.
Speaker2 : I activated the card that was sent to me, the one I just read you, the last four digits that I read to you.
Speaker3 : It shows that it's not active.
Speaker1 : In our system, it actually shows
Speaker2 : I called the number on the card and I activated it. Gotcha.
Speaker3 : I apologize. Evidently it did not go through. I'm going to put you on hold because our system does show that it's not active and it looks like all the declines are that same reason. So let me put you on a brief hold and call over to the debit card and. Let them take a look at it. I'll be right back with you.
Speaker1 : Mr. Hernandez, thank you so much for holding. Okay, so yes. You did activate your card because I see transactions in June and July where you've just recently used your card, but. They were explaining to me over in our debit card department is they've been. Experiencing an issue where some cards are getting switched back to non active. It's a glitch. They're working on that glitch. and evidently yours was one of those cards that it did that. So now your card is active while we're on the phone. If you want to try to go ahead and use it on Amazon, you go right ahead and I can let you know because it does show that the card is active now.
Speaker4 : Well, that's very inconvenient. and you should at least send an email, just like you send me emails about all the other transactions. You should let your customers know that you're having a glitch. Okay? This is very inconvenient, but thank you. Thank you for looking into it. We'll go and Order what we need from Amazon and call back if we have any issues. Okay, thank you all. You have a good day. Thank you for contact flex. Bye bye. All right, thank you.</t>
  </si>
  <si>
    <t>Activate card refers to enabling a debit or credit card for use.</t>
  </si>
  <si>
    <t>Speaker0 : But
Speaker3 : Thank you for calling Inspire Financial. My name is Jasmine. May I have your member number, which could also be your Social Security number, please? Hi Jasmine. My name is Richard Downs. The Social Security is 430 450-53-0566. Thank you. One moment, sir. Alright, and which account are you calling on today?
Speaker1 : Calling for an Hsa account.
Speaker3 : Thank you, Mr.. Downs. and can you verify your current? Mailing address we have for you.
Speaker1 : That's Why I'm calling. I think you have 880 South Coit Road, apartment 205. In Prosper, Texas, 75078. But I've Moved and I want to I want to close the Hsa, but before I can close it, I need to change the address.
Speaker3 : Understood. And can you I can help you with that today. Can you verify the last four digits of your Inspire debit card? 1st.
Speaker1 : And that's why I have, yes, it is 2292.
Speaker3 : Thank you and a good callback number just in case we get disconnected. Sure, 214263.
Speaker1 : 90 165.
Speaker3 : All right, sir, and I can definitely. Now do you have access to log on to see if you're able to just edit it real quick online? Because if I. Do it on my end, I do have to submit a request to the account manager, which takes three to five business days to update.
Speaker1 : I am online. I've just gone through. The process of setting up an account Profile On the inspirational Dot com website. On the my profile. I can edit some things, but I can't edit my address.
Speaker3 : Got it. Okay, so it's going to force us to do it that way. Now, do you have a bank account already linked or because it's your 1st time logging in, you haven't got a chance to do that. Okay, correct. I can. I yes.
Speaker1 : If you think that would help.
Speaker3 : Yes, sir. Now it does take about three business days to verify your banking information. And then I would close the account from there. That would give us time to update your mailing address and then as well as your. An account will be verified and then we can select that the funds be directly deposited into that account, opposed to us mailing it to you. Is that okay?
Speaker1 : That's perfect, you bet.
Speaker3 : Okay, now what new mailing address so we can open up that case so we can get that taken care of.
Speaker1 : Okay. And I do, I do see it on the address page. I have a residential address which I read to you and then a mailing address. Well, it's it's listed as the address of Unisys Corporation, which is my old company, but the address under that is my current mailing address. I don't know if you see that, but it'd be easy to just copy and paste it if you do.
Speaker3 : Yeah. It's so weird because I don't see that. Let me look Some
Speaker1 : It was confusing at 1st and I thought we'd be okay, but then when I went to close it, it was going to mail it to the Co road address it's on. 865 idyllic place if you see it. If not, I can read that to you more slowly and we can just do it.
Speaker3 : Yes sir, just provide it to me please, because for some reason I don't even see it on my end. But I'll get that taken care of.
Speaker1 : Thank you. All right, it is 8615. And then it's idyll place I D Y L L I C. I hate that name. ST. it's like idyllic, you know, Can it just be? Yeah, it is, right. Apple Street or something, you know.
Speaker3 : Right. And then.
Speaker1 : It's in Mckinney, Texas. 75071.
Speaker2 : Okay, 1 s. Alright, so I'm just going to place you on a brief hold. We'll go ahead and get this address updated on the back end. Of course, you make sure you add your banking information. And then I would just give it about three business days. To call us back, we can close the account and then of course by then the address should be updated. Okay. Sounds good. One moment and I'll provide your welcome case number. Okay. Okay. Alright, thanks. All right, Mr. Downs, thank you so much for your patience. I do have your case number. For you whenever you're ready to take down. Perfect. I'm ready. It is 064. 612. Four, two.
Speaker3 : And again, it takes about three to five business days to update that address.
Speaker2 : Of course up to three business days to add your banking information and then once it's added, you can give us a call. Of course there will be a $25 closure fee, so the amount that will be. Directly deposited into your account would be $871.41. Okay. Sounds right. Yes, ma'am. Right. That's it. You enjoy your morning? Bye bye. Bye.</t>
  </si>
  <si>
    <t>close account</t>
  </si>
  <si>
    <t>Close account refers to the termination of a financial account.</t>
  </si>
  <si>
    <t>Close Account</t>
  </si>
  <si>
    <t>Speaker2 : What time is the red suki?
Speaker1 : Thank you for calling financial. My name is Cda in order to secure your account. The account holders 1st and last name.
Speaker2 : Hello, my name is Hui Chin Rogers. I C H E N R O G E R S.
Speaker1 : Thank you, Miss Rogers. And are you the account holder? Yes. Thank you. One moment please. And that's H O U C H E N. Rogers, R O G E R S.
Speaker2 : You got the last name, correct? The 1st name is H U I. C H U R, sorry.
Speaker1 : Thank you. 1 s.
Speaker2 : Okay, thank you.
Speaker1 : You're welcome. Okay, I found you. Sorry about that. And Miss Rogers, may I please get the last four of your social? Thank you. Give me one moment. Give me one more moment. Sorry, may I please get your complete address?
Speaker2 : 11329 Long Winter Drive, Austin, texas, 78754.
Speaker1 : Thank you. And may I get the best call back number?
Speaker2 : A5124000089.
Speaker1 : Thanks, that's 52400089.
Speaker2 : That's correct.
Speaker1 : Thank you. May I please get the last four digits of your inspired financial debit card? It could say pay flex. It's your text flex.
Speaker2 : 6051.
Speaker1 : Thank you. And then how may I help you please?
Speaker2 : So I am calling to see if you can reactivate my card. It still says that the card is. Suspended
Speaker1 : Yes, ma'am, and I do show that there is an amount of $109. That's from the 2324 plan year. I won't be able to To activate your card, but I can look at the account. And tell you what we need be.
Speaker2 : Sure, but I've already sent in the documentation.
Speaker1 : When did you send the documents in? I sent it yesterday. Okay, processing time frame is up to five business days.
Speaker2 : Okay, but I received a text, I believe, saying that the document has been received.
Speaker1 : Okay, and the processing time frame is up to five business days. Let me give me just 1 s. May I place you on a three to five minute hold? I might be able to do that. Give me just a moment. But I do need to research the account please. if you don't. Okay, thank. I really appreciate that. Of course you're welcome. Please hold Miss Rogers. I'll be right back.
Speaker0 : Thanks, Ms. Rogers for patiently waiting. ma'am. I appreciate you. So yes, you were correct that we did receive the document yesterday. Processing time frame is up to five business days, but I can see.
Speaker1 : Where that is going to take care of that amount. So I did go ahead and reactivate your card for you. It's ready for use, ma'am.
Speaker2 : Okay, all right, thank you so much. Yeah, I'm about to go to the Dr., today, so I really appreciate you doing that for me.
Speaker1 : Yes ma'am, my pleasure. Could I help you with anything else while you got me?
Speaker2 : No, that's all for now. Thank you.
Speaker1 : Of course, my pleasure. Well, you know what? Let me give you this, let me give you this balance real quick. You actually, because it's almost plan year end. You have $1173.81. You have Until August 31. Of this year to spend that money. You have until December 31 of this year to file claims. And And Anything Up to $640 will carry over to next year.
Speaker2 : Oh, okay. Like it would just carry over to the next ten years if I don't spend it. Yes, that is correct.
Speaker1 : Yes, ma'am.
Speaker2 : Okay. Well, thank you so much.
Speaker1 : My pleasure. Thank you for calling Inspire Financial. Tex Flex, I hope you have a great rest of your day.
Speaker2 : You too as well.
Speaker1 : Thank you. Uh huh. Bye bye.</t>
  </si>
  <si>
    <t>Reactivate card refers to restoring the functionality of a suspended card.</t>
  </si>
  <si>
    <t>Reactivate Card</t>
  </si>
  <si>
    <t>Speaker2 : Thank you for calling Inspire Financial. My name is Sarah. To better assist you today, could I ask you to verify the account holder's 1st and last name as well as their zip code?
Speaker1 : 1st name is Last name is 08822.
Speaker2 : Okay, thank you. And are you the primary account holder that's listed on the account? Yes. Thank you so much. And to secure your account with me today. Can you verify your full mailing address, including your city and state? You can leave the zip code off if you'd like since you provided that.
Speaker1 : 18, Flemington, New Jersey.
Speaker0 : Okay, thank you. And can you verify the last four digits of your social?
Speaker1 : 348.
Speaker0 : Okay, thank you so much. And as my final question for securing the account, will you also be able to provide me the last four digits of your Inspire Financial or Pay Flex debit card number 7483?
Speaker2 : Okay, thank you. Would you like to leave a good callback number that I could reach you on if you and I were to become disconnected?
Speaker1 : 908-303-1187.
Speaker0 : Okay, thank you. I'm just reading that back for confirmation of accuracy on my end. I have that as 908 303 1187.
Speaker1 : Correct.
Speaker2 : Okay, thank you. And how can I assist today?
Speaker1 : So I have this issue, what's going on and it just resolved with you guys, but I have a bill from my doctor's office. The date of services What was it? Eleven 05:20 24. Can I pay with my inspired card?
Speaker2 : Let me check out your account really quick and. Can, I can definitely advise if you would be able to or if you wouldn't be able to. do you mind if I place you on a brief maybe one to two minute hole just to take a look around the account? Okay, thank you so much. I'll be right back with you.
Speaker0 : Hi M Kaia, thank you so much for waiting through that hold with me. So unfortunately, after looking at your account, it would not, a 2024 date of service would not be eligible to pay with the account.
Speaker2 : Due to the plan years. So with the Irs guidelines, one of the guidelines that they have stated is that each year's funds can only be used to pay for dates of service that occurred within that plan year. And The run out time frame for the 2024 account was May 31 of 2025 to file any claims or anything like that to be reimbursed. So unfortunately, you wouldn't be able to use the 2025 funds to pay for the 2024 date of service. But you also would not be able to request reimbursement from the 2024 plan year.
Speaker1 : So the problem is that I would have paid this, but you guys have frozen my account. That was the main reason I could not pay my bills. To just give you an F. This has been an ongoing issue from since January. I got a letter that because something messed up on your side and I could not use my Fsa card.
Speaker2 : So looking at the transactions for the 2024 plan year, it looks like the account was zeroed out on October 30 with a $2.89 transaction. So the 2024 plan year had been completely depleted of funds on October 30 of 2024.
Speaker1 : So you're saying there was no any money left?
Speaker2 : Right, Yes, ma'am, for the date of service of November 5 of 2024.
Speaker1 : Okay, so that means that I could have paid this like long time ago instead of going for the collection, which was not necessary. Okay, I thought like I could have paid. I don't know why I'm not getting any paperwork in the mail saying that how much Bal I have and how much I.
Speaker2 : If you'd like to So I am seeing Mrs. Kodak that you are enrolled like you do have an online profile set up if you'd like to today I could assist you with getting back into that account so that way you are able to review your balance and in transactions and things like that when you when you need
Speaker1 : Yeah, I'm at work right now. I can't do that from work. I have to be at home, go to my lab, my computer. So I'll call once I'm at home on weekend or something like that.
Speaker2 : Okay, yes ma'am. And our operating hours, Monday through Friday, we're open from eight 08:00 a.m., Eastern Standard Time, to 08:00 p.m., Eastern Standard Time. But on Saturdays, we are also open from 10:00 a.m., Eastern Standard Time, to 03:00 p.m., Eastern Standard Time. That's perfect. Okay, no problem. Thank you for your help. Oh, no problem at all. Was there anything else that I could do to assist you today while I had you here on the phone with me?
Speaker1 : No, I think I'm good. I just have to pay my bills now. That's it. Okay.
Speaker2 : Right. Well, I hope you have a wonderful rest of your day and I hope you have a great rest of your week as well. You too. Thank you. Bye. Bye. Thank you. Bye.</t>
  </si>
  <si>
    <t>pay bill</t>
  </si>
  <si>
    <t>Pay bill refers to the act of settling an outstanding payment.</t>
  </si>
  <si>
    <t>Speaker2 : Financial. My name is Josh and to best assist you, could you provide me with the account holder's 1st and last name?
Speaker0 : Hi Josh, this is no with inspired as well. I have Miss Laurie Taft on the line.
Speaker2 : Is that Lori with an I or a Y?
Speaker1 : Laurie L A U R I E. Taft is T for Tango, A F for Foxtrot, T for Tango.
Speaker2 : Wonderful And then that zip code, please.
Speaker1 : Zip code is 30528.
Speaker2 : Cool. This might take just a moment while the system catches up.
Speaker1 : Thank you.
Speaker2 : Okay, it's coming up. Right. And then what are we doing for this member today?
Speaker0 : All right, so, so the account was fully verified.
Speaker1 : Her card was declined. The access indicator shows why for one of the. I guess The balance summary under Pfizer. But Under one of the other. and I don't know why there's two of them here. It doesn't really make sense to me, but one of them shows no and one of them shows yes. So only $158.86 went through, and I believe it's because that's how much was available in this current purse. But. She should have that full 220 06:58 available, but I don't know why the access indicator shows no. If you can help me figure this out, I'm not sure I understand.
Speaker2 : Yeah. I did see that there were multiple plan years within 2025, so they might have perhaps went on medical leave and came back, or maybe they left the company, came back, or something like that. But that might be why we see too. Let me take a look here though.
Speaker1 : Thank you.
Speaker2 : Oh yes. Okay, so it looks like there's an overpayment, so that should explain it. Let me see if I can find when that Rl went out though. Oh, they tried substantiating it and then it shove it into op. Okay, all right, so they have an overpayment. That's what causing it to be currently inactive.
Speaker1 : But she was too. okay, because I'm sorry.
Speaker2 : Yeah, I'm sorry, Josh, I'm not trying to interrupt. No, no, you're all good. I mean, with the overpayment. It should have declined both unless they were separate accounts. But I do believe that they were separate accounts. That's probably why one went through. it wasn't attached to the other account with the op. So that's probably why the 1st payment snuck through is that they had separated the accounts and then put them on the same card for whatever reason. And then one was an Op and the other wasn't. So that should explain why the 1st portion went through. but with it being in overpayment, we can't of course. Well, Let's check to see if they had a hardship maybe. Yeah, I don't think she's used her hardship this year so she could always submit for that. Most definitely it is under the $500, but yeah, it's declining because of the overpayments. Weird circumstances allowed the other one to go through though.
Speaker1 : So what I'm trying to say to you is that the overpayment should not be in place, and I'm working on it right now, but I submitted. A case earlier But she processed a refund back in June and that should have been applied towards the overpayment. and it looks like it never was. so I'm working on that. So she. Technically shouldn't have to ask for a hardship technically speaking, like the overpayment should be cleared by now. I'm just working on getting that cleared. Is there are anything I can do to avoid having to request a hardship that's not, you know, necessary in the 1st place or. Like, what should I do?
Speaker2 : Yes. I'm glad you mentioned the refund. Yeah, I see that listed in the system. Yeah, how bizarre. Okay, Yeah, since they refunded it, I'll turn it back on. Just one moment. Thank you.
Speaker1 : Thank you so much.
Speaker2 : Yeah, totally. But yeah, I'm sure you already have, but you know, if you haven't just, you know, send something off so someone can correct the op. Because that shouldn't be there any longer. Most definitely. How bizarre.
Speaker1 : Right. Sorry, I'm not trying to rush you at all. Is it going to take you a few more minutes? Should I go ahead and check on her?
Speaker2 : It should be a short Time It just my system's really. It's it's No, no, no, it's nothing either of us can do. You know, it's someone else's computer.
Speaker1 : Yeah.
Speaker2 : But hey, maybe they get us better equipment. These things work faster. Who knows? But aside from that, the card has been reactivated and they're all set to start using it.
Speaker1 : You're my hero, Josh. Thank you so much.
Speaker2 : Oh yeah, you have a great day.
Speaker1 : You too. Thank you. Bye bye. Bye bye.</t>
  </si>
  <si>
    <t>Reactivate card refers to re-enabling a previously inactive card.</t>
  </si>
  <si>
    <t>Speaker1 : Hello, thank you for calling Inspire Financial. My name is Deandre. Can I have you verify your full address for Miss Debbie?
Speaker2 : It's four, oh, seven benue. Columbus, ohio, 43213.
Speaker1 : Thank you. And can I have you verify the last four digits of your social security number and the last four digits of your debit card number?
Speaker2 : 5241 is the last of my social security number, the debit card number I have. Quite a number of them here and I don't know which one is active.
Speaker1 : Okay, so. Are you able to confirm The last four digits of the card numbers and I can go ahead 2500.
Speaker2 : Okay, so it looks like they all end. Is 250 there?
Speaker1 : Yes, ma'am. Do you have dependents on your account?
Speaker2 : Edward Austin and Daniela
Speaker1 : Okay, so that is the correct debit card. Can I have a good callback number just in case of the line disconnect?
Speaker2 : 614556 3000.
Speaker1 : Okay, so yes, that is the correct debit card. Most likely you receive debit cards for the dependents. Including yourself. So That debit card is active, your account is active. You are able to use the debit card to pay for. Medical expenses. So you do have an Fsa account as well as an Mra account. So you're able to use your Fsa to pay for medical expenses, dental vision. Prescription drugs, over the counter items, and then your Mra account only covers for. Medical services, prescription drugs and deductibles. But you do, you are able to use the debit card for those expenses and services.
Speaker2 : Okay. So it's now active. Okay, because at a point in time it was suspended. That's why I wanted to know the status of it.
Speaker1 : Let me just double check that for you. One moment here. Just to make sure Which I do believe it is active. just making sure. Yes ma'am. So it's active. You are good to go.
Speaker2 : Okay. All right then, thank you.
Speaker1 : You're welcome. And is there any other questions or concerns you may have?
Speaker2 : How much do I have on it, please? I thought it was.
Speaker1 : Yes, ma'am. It's still the same thing. So it's a health care Fsa account. So your Mra account, you have available $400 and then your health care spending account is $1101.07.
Speaker2 : Okay. All right, thank you.
Speaker1 : You're welcome. And is there any other questions or concerns you may have?
Speaker2 : Just one last question. If I paid a dental My dental appointment if I paid for it out of pocket. Is there any way I can claim those funds back on now.
Speaker1 : Yes, ma'am. So if you pay for services out of pocket, you would just have to file a claim for reimbursement. You can file a claim from. File a claim for reimbursement through your online account. Or you can send the information in to us by mail. But you do have to download and fill out the reimbursement claim form, which would be through your online account under your documents and forms. And then you will click on file a claim. Once you downloaded and filled out that form, you'll click on file a claim to file the expense for reimbursement and make sure you upload your receipts and your claim form. Once we do get it, it'll take us five business days to review and then once we approve the reimbursement, we'll either send out a check by mail or send it to your online bank account if you have your bank account added.
Speaker2 : Okay. And the website is this page flags.com.
Speaker1 : It's inspired financial.com.
Speaker2 : Ins financial Okay. All right, thank you so much.
Speaker1 : You're welcome. And is there anything else I can assist you? Assist you with today. I'm sorry.
Speaker2 : No, that would be all. Thank you. Have a good day. You're welcome. You as well. Thank you for calling Inspire Financial. Bye bye. Bye bye.</t>
  </si>
  <si>
    <t>Reactivate card refers to making a previously suspended card active again.</t>
  </si>
  <si>
    <t>Speaker3 : Hello, Mr. Tsa.
Speaker1 : Yes.
Speaker3 : So I have Marc here and she will be the one to. Try to help us about the transaction that was done on July 20. Okay.
Speaker1 : Okay, thank you.
Speaker3 : And maybe she would need additional information for them to locate your account. Go ahead, Marcy.
Speaker2 : Hi, as you stated, my name is Marcy with Express Gris. Our call is month recorded for quality purposes. How may I help you today, sir?
Speaker1 : Yes, so there's a transaction or. Account For around $2100, which wiped out our accounts. We don't know what that is for, but I just want to find out information. About that transaction because I don't think it's correct.
Speaker2 : Okay, I can look into it. And what's your name?
Speaker1 : My name is Steve Tso, T. U. S. My wife Patricia is the primary account holder.
Speaker2 : So is the prescription for you or for your wife just so I know what account to look under or do we know who it's for?
Speaker1 : I'm assuming it's for me, but again. I don't know what the prescription is. That's part of the real problem.
Speaker2 : I understand. I just need to get into the profile so I know where I'm looking at. What is your date of birth?
Speaker1 : 1130 69.
Speaker2 : One moment. And can you also verify the zip code on your account?
Speaker1 : 18966.
Speaker2 : Thank you. And just to get permission, since we do have another representative on the line, is it okay to speak about your medications with the agent on the line with us?
Speaker1 : Yes, that's fine.
Speaker2 : Thank you.
Speaker0 : And ma'am, I'm sorry, what was your name again?
Speaker3 : Oh, my name is Norma. N O R M A E. I'm from Inspired Financial.
Speaker2 : And may I get the 1st inch of your last name as well?
Speaker3 : That would be a
Speaker2 : And what's your callback number?
Speaker3 : Our callback number. Let me just go ahead and provide it to you. Just bear with me. So our customer line would be 1844. 7293539.
Speaker2 : Thank you. And so you said the amount that you're looking at is around $2100.
Speaker1 : Yes, it's 2139 and some cents. I don't know. I got kicked out of the account. I'm waiting for the trade to get back.
Speaker3 : Okay, I can provide the exact amount, $2130.89.
Speaker2 : Okay, and for what date of service?
Speaker3 : It was May 07:20 of 2025. I'm sorry for that, Mr.. Oh yeah, that's okay.
Speaker2 : May 7, 2025, and it says express grips on it.
Speaker3 : I'm sorry. 2025.
Speaker2 : July 20.
Speaker3 : Yes, and then. Merchant name is Express Strips Pharmacy, ST. Louis, Missouri.
Speaker2 : Okay, give me just a few moments.
Speaker3 : Sure.
Speaker0 : Yeah. Okay.
Speaker2 : So sir, it looks like this is coming from an order that you get from a credo for the Let Flo. I think that's how you say that. Let Flo Capps 50 mg.
Speaker1 : Okay, all right. I am aware of that transaction. Okay. Yeah, I didn't think I was being billed for that. I thought I was on a. Yeah, copay assists. Yeah.
Speaker2 : I would have to actually get a credo. Oh, I'm sorry. Go ahead.
Speaker1 : No. You'll notice there are two other Transactions for the For around 18 hundred dollars that were canceled. So I'm just wondering, is this account going, is this going to be canceled as well?
Speaker2 : So that I would have to get a credo on the line for because their billing process is a little different from the express script side so that I am honestly not certain of. I can't see any like cancel transaction that you're referencing, but if it's coming from like a credo side, that would be why. And also if you have had copy assistance, I can definitely get them on the line so they can see why that's not being applied to your prescription.
Speaker1 : Okay.
Speaker2 : Would you like me to transfer you?
Speaker1 : Yes, sure.
Speaker2 : Okay, and do you have a Creo phone number for future reference?
Speaker1 : I'm sure I have it somewhere. Yes.
Speaker2 : Okay, give me about two to 3 min. Let me get one of their agents on the line and they can help you further pertaining to that transaction.
Speaker1 : Okay.
Speaker2 : Thank you.
Speaker3 : Hello Mr., Tuo, do you still want me on the line if ever you get transferred?
Speaker1 : No. I think I don't need you anymore, nor. So thank you very much for your assistance. I appreciate it.
Speaker3 : You're welcome before I end. I leave this call. Is there any other? Any other concern? I can help you with the account.
Speaker1 : Not at this time. No, thank you.
Speaker3 : Okay, thank you so much for calling Inspired Financial Institute. If you still need help, you can call us at any time. Okay, all right. sounds good. Thank you. Bye for now. Bye.</t>
  </si>
  <si>
    <t>transaction inquiry</t>
  </si>
  <si>
    <t>Transaction inquiry refers to investigating a specific transaction on an account.</t>
  </si>
  <si>
    <t>Speaker2 : Hi Alicia, how are you? Hello, Thank you. So.
Speaker1 : I'm doing well. How about you?
Speaker2 : Good
Speaker1 : Thank you so much for calling Inspire Financial. My name is Alicia and I will be able to assist you further at 1st. I need you to state your full name as it is on the account, please.
Speaker2 : My full name.
Speaker1 : Thank you, Mr.. N. Can you I was provided a phone number six and 173-86-3814. Is that a good callbacks, correct? Thank you. And you're calling in to see why your card is suspended.
Speaker2 : Yes.
Speaker1 : Hello.
Speaker2 : Yes, can you hear me?
Speaker1 : You're calling in to see why your card is suspended. Yes, correct.
Speaker2 : Can you hear me? Okay, so your card is suspended because you were asked for documentation a few times for a charge. Now the charge.
Speaker1 : Is from January the 3rd of 2025 from for $439.20 at four eyes. They were we are needing either an itemized receipt or an explanation of benefits. The itemized receipt. Does have to have a patient's name, provider's name, date of service. Type or description of the service and the final amount that you have to pay. Or you can submit an explanation of benefits, which you will get that from your insurance provider. In order to get the card reactivated.
Speaker2 : I thought, I thought that was provided the last time. No.
Speaker1 : There's no document on here. How did you send it in?
Speaker2 : Just last year, right?
Speaker1 : This is from January of 2025. It's a 2025 charge.
Speaker2 : 2025 charge
Speaker1 : What the date of payment is? One 03:20 25. That's your date of payment of one 03:20 25.
Speaker2 : Let me see.
Speaker1 : Well, it looks like it was authorized 1230 2024 and it posted one 03:20 25.
Speaker2 : Well, We have not received any document for this. Well, then we should go to like last year. Right.
Speaker1 : I'm sorry, it should go the last year, the charge. I'm giving you the date that it was authorized. I'm just telling you the date. So the date that it was authorized was 1230 2024 and your date of payment was one, three, but yes, it is on your 2024 Fsa account.
Speaker2 : Okay, so where can I put in?
Speaker1 : It's in your 2024 health care spending account.
Speaker2 : So I need to go to my 2024 account and then I'm gonna find. Something transaction over there and just verify that. Right.
Speaker1 : Yeah, you could go under your 2024 account in the online account and go to verify card purchases once you change that plan year date and you'll see that charge. But yes, sir, we need that document for that charge. Bear with me one moment. I'm trying to see if there's anything I can pull up on my end if you don't mind. Do you mind if I place you on a brief hold? Yeah, go ahead. Thank you. One moment.
Speaker2 : Right.
Speaker1 : All right, thank you so much for holding and I apologize about that hold. So I'm looking into your account here. Now I did look to see if I could find anything. That will match this claim. However, I didn't find anything that will match it, but I did find some medical charges that I can offset it with. Would you like for me to do that?
Speaker2 : Like last year, right?
Speaker1 : Yes, 2024. Yeah. Can you offset over last year?
Speaker2 : Then I actually found a receipt already.
Speaker1 : Well, if you found the receipt, I won't have to offset it with any other medical charges.
Speaker2 : Oh. So if I found a receipt, I just need to upload that. That's all.
Speaker1 : Okay, yes, sir.
Speaker2 : I was upset with last year. Sorry.
Speaker1 : You can either upload the receipt if you have it, the itemized statement if you have it, or I can try to get it offset with another out of pocket charge. Would you like to just upload the receipt?
Speaker2 : I can upload a receipt, but I just want to make sure it's gonna go to, um. It's gonna go to like, um. The Lockyer.
Speaker1 : Right, it'll be 2020. It's your 20. give me 1 s.
Speaker2 : It's weird. It's on my computer version. I don't. Sorry. go ahead.
Speaker1 : It's your 2024 funds. So yes sir, we can go in here and. Well, give me 1 s. I may not be able to offset it. Yeah, your run out has passed, so we have to have the exact document. I'm sorry. So definitely upload your document. Okay, so we could get it. Get your card reactivated.
Speaker2 : Okay. All right, um, I'm uploading right now. Are you gonna, are you guys gonna see it like immediately? Hold on.
Speaker1 : Yes.
Speaker2 : Okay, all right, give me one. one. 1 min actually upload that.
Speaker1 : But you have to allow three to five business days for it to process.
Speaker2 : I can see it, but I won't be able, I can't process it or anything. Yeah. Wait. Hold on. Verify purchase Upload document. Okay. It's kind of crazy like I, I already know that you guys can ask for it so I I have the receipt I have them email me the receipt I just didn't know, like, I felt like, you know, when you guys didn't request it, I felt like, oh, I'm good, I don't need to upload anything. but no, I have to.
Speaker1 : Yeah.
Speaker2 : Okay. Oh crap. One error. remove the password protect. Well, I don't have password protect.
Speaker1 : It may be on that document.
Speaker2 : Sorry.
Speaker1 : The password protect. if it was sent to you from a provider, it may be on that document.
Speaker2 : So they password protect this thing.
Speaker1 : Yes.
Speaker2 : Oh God.
Speaker1 : We won't be able to see it if it has a password on it.
Speaker2 : I just want to see if I can edit. Oh god, no, I cannot. If I took a picture and send it to you, is that okay though? I cannot It's not allowing me to upload this Pdf right now.
Speaker1 : A picture is fine as long as we can be able to see it.
Speaker2 : Okay. Right. Sounds good. Thank you so much. Yeah, I'm good for now, I guess. Absolutely. And so once you upload your.
Speaker1 : Okay, once you upload your document, just allow three to five business days for it to process. Okay, okay. All right. Thank you. You're welcome. Anything else I can assist you with?
Speaker2 : I'm good for now. Thank you.
Speaker1 : Yes sir. Will you have a great rest of your day? And thank you so much for calling Inspire Financial. You're welcome. Bye bye for now. Bye bye now.</t>
  </si>
  <si>
    <t>Speaker2 : Thank you for calling in Spiral Financial. My name is Sheila. In order to better assist you, may I have the account holder's 1st and last name and the zip code?
Speaker1 : Leo Bauer 14225.
Speaker2 : Could you spell your 1st and last name for me please?
Speaker1 : L E O D I N A That's Leo Dia. Last name is Bauer. B A U E R. Middle initial is G as in George. All right.
Speaker2 : Right. And are they already enrolled in Cobra?
Speaker1 : I don't know. Really don't understand. I'm trying to help my mother. She's in an assisted living facility and I don't know if she's paying her bills or not. I get the mail for her and I see she's got these pieces of paper here, these slips of paper she's supposed to fill out and send it. I don't know if that's been done. I don't know if she's up to date on paying things.
Speaker2 : Understood. I understand. So I would be happy to look at things for you. I do need to verify some of her information. 1st, Could I have the last four of her social security number?
Speaker1 : Yes, 9593.
Speaker2 : All right, thank you. All right. Can I help you verify the address, including the city and state?
Speaker1 : 27 Ontario Drive, Chica, new York, 14225. All right.
Speaker2 : All right, just bear with me a moment. I'm still attempting to pull up the account. It's nothing other than my computer is being slow. Right. So without her verbal authorization, I can't go into a lot of details, but I can tell you what the account is about. So She doesn't have any payments due at the moment. This is basically. Covering her retirement medical as a surviving spouse. But that's basically all it is.
Speaker1 : Okay, now I know she used to fill out these slips of paper that she got. It was like just a whole bunch of them every month. You had to fill it out with a check. I think maybe what she did is she's got an automatic thing now where it's automatically taken out of her checking account because she's got a piece of paper here that said, how have to pay your premium, complete the enclosed electronic funds transfer form, an attached avoided check, and mail it to you and. Your account will be automatically charged. So it just automatically coming out of her checking account each month, then I don't have to send one of these in. That's what I was doing. We were filling these out every month and it got ridiculous. It was just like, you know, kind of hard to do every month filling out.
Speaker2 : No, it's set up on automatic payments now. Oh, thank God. Okay, All right. Yeah, she's in a nursing facility now. So, you know, I kind of got thrown into the mix here and.
Speaker1 : My brother was helping and he's no longer in the picture, so it's falling on my hands. All right, so I don't have to worry about all these slips of paper here. I was panicking.
Speaker2 : Yeah, those are just payment coupons so you can pay by check. It helps us match up the check to the.
Speaker1 : Okay, so the $70 just comes out every month automatically out of our checking account and it's paid. All right. That's good to know. Yeah, okay, I really appreciate the help on that. So all right, there's all these slips I can just. I guess throw them away. She's got a lot of them. I guess it's like for a whole year or something with them. They sent her so. Okay, well she look, I really appreciate your help. That makes me feel much better knowing that my mom's up to date on their insurance.
Speaker2 : Oh yeah, of course I was glad to be able to help. Did you have any other questions?
Speaker1 : No, I don't think so. That's it. And Sparta Financial Health, I guess that's it. That's not Aetna. Is it, was it used to be called Aetna or is that something completely different?
Speaker2 : All that we do is make making it possible for her to keep the coverage that she had with Edna. So we're more of an admin. But we just make it possible for her to keep that insurance coverage.
Speaker1 : Okay, all right. very good. Okay, appreciate your help. Thank you so much. All right, you're welcome. Have a good rest of your day. You too. Thank you. Bye bye. Goodbye.</t>
  </si>
  <si>
    <t>Payment method refers to the way payments are made for services.</t>
  </si>
  <si>
    <t>Speaker2 : Good afternoon. Thank you so much for calling Inspiron. My name is Denise. To better assist you, could I please have the account holder's 1st and last name in zip code, please?
Speaker1 : Hi Denise, 1st name is Arianna A R E A N A last name Harris Zip code is 23602. Full address is 646 Hibiscus Street, Virginia.
Speaker2 : Okay, hang on just a minute. Let me get some of that information typed in. Thank you for all of that information. I so appreciate it. And what did you say your city was? No, no, you're fine. That's wonderful. Thank you. Okay, perfect. Thank you. No, it's wonderful. Thank you. Okay, perfect. And that is pulling up. So thank you so much. The only other thing I need is two more items. If you can share with me the last four numbers of your. So Number and I'll get that and the debit card. Yeah, Social Security number and last four numbers of the debit card. just the last four.
Speaker1 : 9898 for the debit and 2356
Speaker2 : For the social perfect. Thank you.
Speaker1 : Let me get that typed in and that should pull everything up.
Speaker2 : And you said 9898 for the debit card. Let me get that in. And then while I'm pulling everything up, do you have a call back number just to be safe in case I would disconnect from you?
Speaker1 : Yes, 757. Five and 28 0314
Speaker2 : Awesome 7575 and 28 0314 and everything is loading. Okay, perfect. I've got your account pulled up and thank you so much for all that information. And how can I help you today?
Speaker1 : I was having my debit card for my Fsa got cut off. Because of a charge that May or may not be taken care of. I called last week. What day did I call? Maybe like Wednesday or Thursday of last week. To basically kind of get it handled or situated and. The lady said she would try and use some of my. Claims to pay for the charge that was keeping Yeah, I'm just trying to see if that's been cleared through. Like what's the status of that because. Y'all sent emails for that. So I'm just trying to make sure before I go to my dermatologist appointment tomorrow that's taken care of. If not, I'll need to re appointment. Oh no, absolutely. Let me look here. It looks like everything's been cleared. Let me check.
Speaker2 : Let me do a couple there and then I'll make sure your cards turned back on too. Evidently whatever she did, she was able to clear it. Actually the last one cleared out yesterday, so that's perfect. So let me. See if I can make sure your cards turn back on. You have a balance of $803. $803.63 is your current balance. So it looks like that's going to be able to be used. And let me give me just a minute. Okay. So she did get that cleared. So let me go over to the debit card terminal, make sure they've turned that card back on.
Speaker1 : Okay.
Speaker2 : Another way you do not have to reschedule your appointment. everything will be great.
Speaker1 : Yeah.
Speaker2 : I know it's such a hassle sometimes understand why they do it, but it's sometimes it's like no.
Speaker1 : Exactly.
Speaker2 : Yeah, anytime us as Service rep anytime we can get them cleared. We really do try hard. Okay, your card shows active. Let me make sure they've actually turned it back on. Everything's on. Yes ma'am, you are good to go. That account has been cleared, the card is active, and everything has been turned back on. so you definitely will be able to use it tomorrow.
Speaker1 : Yay, okay, thank you so much.
Speaker2 : You're so welcome. And do you have any other questions on the account while we're here or to prevent this from happening in the future? That is. Well, thank you. I hope you have an amazing, amazing rest of your week. And thank you so much. I'm so glad I got to talk to you this morning, Miss Harris.
Speaker1 : Thank you so much for your help as well.
Speaker2 : Have a great day. Bye bye now.
Speaker1 : Bye.</t>
  </si>
  <si>
    <t>Reactivate card refers to re-enabling a previously deactivated card.</t>
  </si>
  <si>
    <t>Speaker2 : Thank you for calling Inspire Financial. My name is Juliana. To better assist you, may I have your 1st last name and zip code?
Speaker3 : My 1st name is Gretchen, last name Peterson, zip code 48185.
Speaker4 : Thank you. And are you the account holder? Yes. Thank you. Secure your account may have the full address on file.
Speaker3 : 8650 Sherry Drive, Westland, michigan, 48185.
Speaker2 : Thank you. Just two more questions here.
Speaker4 : May I have the last four of your Inspire card?
Speaker3 : 0986.
Speaker4 : Thank you. And lastly, just a callback number in case call gets disconnected.
Speaker3 : 345-60-1402.
Speaker4 : Thank you. And how can I help you today?
Speaker3 : So I've received a notice that you're suspending my card use because there's a claim that can't be verified. I don't have the documentation to be able to verify it one way or the other anymore because it was from February. So I just want to pay back the account so that my. Card can be Reactivated
Speaker1 : And I've been told that I can go into my account, I'm in the account, and that. When I'm looking at my Fsa, it shows like under account activity there should be a spot that I can click for claims to be able to repay, like pay it back. But it's not highlighted for me to be able to click.
Speaker2 : Oh, okay, I see that. It's from 2024.
Speaker1 : No, no, it was from February of 25. Oh, is that why? Because I got to look under the 2024 account. That's why it's not showing up for me. I just scooted the page. I scooted over. I went, oh, look at that. because it was before the end of before I used up March, whatever. Okay, verify card purchases. That's where I want to click, right?
Speaker4 : Oh wait, it was in.
Speaker2 : 25.
Speaker1 : It was, but I had carryover from 2024. You understand what I'm saying? Yeah. Okay, so I click on this.
Speaker5 : Right.
Speaker2 : So since it's in 24, it may not let you pay online.
Speaker1 : Let's see. Well. Okay, how do I pay it back then? It says if you do not have supporting documents. You must pay back your account, which is fine. I'll just pay it. At this time, we can only accept an online payment for the full amount. For partial payment, no, I'm more than happy to pay the full amount. I just need to know how.
Speaker2 : Right. So. Yeah, if it's sometimes it may let you pay if it's in a prior plan year. But since the fund were in 2024, a lot of the times you'll have to send a money order or check in the mail.
Speaker1 : Oh, I can send a check. That's no problem. And there's an address on this form that was sent to me. mail and check or money order. Yep, sure is to Po Box Omaha.
Speaker2 : Yep, that's okay. That's what I will do then. Thank you so much for your help. I really, I didn't even think to look in the 2024 because I forgot all about there being carryover and that it was utilized up until March or whatever when it was shut off. Okay, cool.
Speaker1 : Awesome. Thank you so much for your help. Then I will get a check mailed out today.
Speaker4 : All righty. Was there anything else I can help with today? No, when I send it, do I need to add it? Do I need to just send this letter back with it?
Speaker1 : So whoever gets it knows what it's to go to.
Speaker2 : You can Or they'll just, if your name's on there, they'll just apply it to your account. Okay, okay. cool. Yeah.
Speaker4 : Before you go, did you know about.
Speaker2 : Your run out and how much time you'll have left.
Speaker1 : What do you mean to use your funds? Yeah, it usually it carries over into like March one, but it'll be, I'm guessing it'll be gone before that for what I have left in 25.
Speaker2 : Yeah, so this year. The employer isn't doing the carryover. Doing what we call grace period. So the grace period is basically an extra two and a half months added on to your plan year.
Speaker1 : Which is what they did last year.
Speaker2 : Yeah, so you'll have until.
Speaker1 : March 15 to spend the funds. Yep. It's right there on the. Yeah, okay. Yeah. March 15. And then you'll have until the 31st to submit claims after the 15th. Yep. No worries. I don't have that much left in here at this point, so I'm sure it'll be gone by then. I'm not worried about it, but yeah, I want to, I definitely just want to get it paid so it can be reactivated. And I had tried to do it before they shut it off and then it wasn't like I didn't realize I need to look in 24. So that was my fault. So okay, cool. I appreciate your help and I will get this sent back.
Speaker4 : Alright, no problem. Thank you for calling Inspire and you have a nice rest of your day. You too. Thank you. Bye bye. Bye bye.</t>
  </si>
  <si>
    <t>Speaker1 : Hello, thank you for calling Inspire. My name is Jaya. To better assist, you may please have your member number, which may be the same as your Social Security number.
Speaker2 : 110. 749727.
Speaker1 : Thank you so much and may I have your full name please?
Speaker2 : Jennifer Blanche.
Speaker1 : Thank you so much. Can you please help me with the spelling of your last name?
Speaker2 : B L A N C H
Speaker1 : Same Allow me to pull up your account. Thank you so much for the way.
Speaker4 : Can you please provide or confirm rather what type of account we are calling in today?
Speaker2 : I'm sorry.
Speaker4 : Yes, may I know what type of account you're calling in today?
Speaker2 : Flexible spending. I didn't receive the card.
Speaker1 : Thank you so much for providing those information. And I just wanted to confirm if this is in regards to a. Never received debit card or a card request.
Speaker2 : I didn't get a card. I never received one. And I've never had one. Oh, I see that. I'm so sorry.
Speaker4 : Okay, I'm so sorry to hear that, Miss Blanche, but I can definitely help you to check in your account if there is already a card that was shipped, but if not, I can go ahead and request one for you. But before that, can you please verify your address on file?
Speaker2 : Yes, it's Six Cook Road, Newark, delaware, 19711.
Speaker4 : Thank you. And in case we need to follow up with you for any reason or if the call might get disconnected, can I have your best call back number?
Speaker2 : Sure, it's 315. 05:46 5214.
Speaker4 : Thank you so much. Just to confirm 355-46-5214, correct?
Speaker2 : Correct.
Speaker4 : Thank you so much for confirming Miss Blanche and I'll go ahead now and check here if there is a card that was shipped to your address.
Speaker1 : Then the line is that for you?
Speaker0 : Okay.
Speaker1 : So that if there is fun. For things that I've already paid for, Can I submit for reimbursement that I've paid out of my own pocket for the cops and things like that?
Speaker2 : Just because I didn't have a card.
Speaker1 : Yes, of course, Miss Blanche, in regard to the out of pocket expenses can definitely. The coin for that one, but for the price. You can file a claim online or you can send it via fax or mail, but I go and check it here in regards to your. Debit cards Alright then, so. I see here that you just enrolled a year from. July of 2025 up to June of 2026, one year, correct? And I'll go and request. Thank you. And I see here that there is no. Debit card that was shipped to your address. So I will go now and request one for you. Miss Blanche, bear with me for at least three to 5 min.
Speaker2 : Sure.
Speaker1 : Thank you. Stand the line.
Speaker3 : Hello, thank you so much for the wait, Miss Blanche. So I was able to successfully. Request it and create a case for a debit card. Debit card request and you will receive the debit card that will be shipped to your address within ten to 15 business days or depending on the local carrier and for the time frame, I mean for the Pm, rather it should be the same with the last four digits of your debit card number. Is there anything else that I can help?
Speaker1 : No, thank you. That's it. Thank you very much. I appreciate your help.
Speaker4 : You are very much welcome and thank you so much for your time in calling Inspire financially. Have a great day. Goodbye.</t>
  </si>
  <si>
    <t>card request</t>
  </si>
  <si>
    <t>Card request refers to the process of requesting a new debit card.</t>
  </si>
  <si>
    <t>Card Request</t>
  </si>
  <si>
    <t>Speaker1 : Hello. In my name is Angelica as I have your number. number which may be the same as Social Security number.
Speaker2 : You said, can you have my member number?
Speaker1 : Yes, your member number, which may be the same as your Social Security number just to pull up your account.
Speaker2 : Okay, 587. 57827.
Speaker1 : I'm so sorry, just what I heard. 587. Can I have the rest number?
Speaker2 : Five, seven. 8247.
Speaker1 : Thank you so much. Can I have your full name and your zip code?
Speaker2 : Valerie Michael M I C K E L L Zip code is 30281.
Speaker1 : Thank you. And are you the account holder?
Speaker2 : I am
Speaker1 : Thank you so much, Mr.. Michael. Miss Michael, I'm so sorry. and I just want to ask what type of account are you calling on today?
Speaker2 : I'm just trying to figure out how much is on my car, my debit card in my account.
Speaker1 : Okay, and what is the name of your employer? I will take note of that.
Speaker2 : It is Children's Healthcare of Atlanta.
Speaker1 : Thank you so much. and to secure your account, can I have your full address please?
Speaker2 : 561 Sheffield Court, Stockbridge, Georgia, 30281.
Speaker1 : Thank you. Okay, and finally, can I have the last part of your Inspire financial debit card? Sure, take your time.
Speaker2 : The last, what
Speaker1 : The last four digits of your Inspire financial debit card.
Speaker2 : Seven
Speaker1 : Thank you. And in case that we need to follow up with you for any reason, can you provide us with your phone number?
Speaker2 : 404-914-2052.
Speaker1 : Thank you so much. And just to confirm 404-914-2052.
Speaker2 : 404-914-2052.
Speaker1 : Yes, just to confirm 404-914-2052. Okay, thank you so much and thank you for authenticating your information. And since you mentioned that you're calling because you wanted to know your available balance, and since you have me on the line, I'm more than happy to assist you. And as for checking you that your available balance of your Hsa account is $423.
Speaker2 : $423,
Speaker1 : Yes, that's correct. And if you wanted what I mean, if you wanted to know your available funds, you can go to our website, which is inspirational.com.
Speaker2 : Okay, is it a way that I could. Do you have an app that I could check? Like I can download the app to see how much the balance is?
Speaker1 : Okay. Yes, actually. Miss Michael that you need to create your online account so that you can log in your account and you can see your available funds and also your transaction Since as for checking here that you have no account. So 1st you need to create your online account. You need to go to our website which is www. dot inspirational.com.
Speaker2 : It's Inspire.com. Yes, that's correct. And then please.
Speaker1 : Click Create profile, manage my benefits.
Speaker2 : Okay. Manage my benefits. It's inspire final.com.
Speaker1 : Yes, that's correct.
Speaker2 : And do you not have an app?
Speaker1 : Yes, you can download that.
Speaker2 : But 1st, I need to create a profile online.
Speaker1 : Yes. Okay, and thank you so much for calling Inspired Financial. Have a great day. Goodbye. Okay. Bye bye.</t>
  </si>
  <si>
    <t>check balance</t>
  </si>
  <si>
    <t>Check balance refers to verifying the available funds in an account.</t>
  </si>
  <si>
    <t>Check Balance</t>
  </si>
  <si>
    <t>Speaker1 : Thank you for calling Inspired Financial. My name is Christian. To better assist you, may I please have your member number, which may be the same as your Social Security number?
Speaker2 : 044 Six, four.
Speaker0 : 9651.
Speaker1 : Thank you ma'am. Give me a few seconds. Just entering that information here. Bear with me. It's loading Okay, and please provide me also your full name.
Speaker2 : Gerald and Crittenden.
Speaker1 : Thank you, Miss Crittenden. Give me a few seconds here. Okay, please provide me also the complete mailing address including the zip code.
Speaker2 : 17 Patriot Road, Windsor connecticut, 06095.
Speaker1 : Thank you. Let me just enter that. Give me a few seconds. Okay, and please provide me also the last four digits of the eplex card or the inspired card.
Speaker2 : Actually, I don't have it in front of me. Wait, maybe I do.
Speaker1 : Okay.
Speaker2 : And It is 3554.
Speaker1 : Thank you. Thank you so much for this information, Miss Kirton, and my system is now loading up and while we're waiting, I just don't want to lose you. Can you provide me your best callback number?
Speaker2 : 860 990-54-0449.
Speaker1 : Please correct me if I'm wrong. It's 869 9540 04:49. Did I get it correctly? Thank you. So how may I help you today?
Speaker2 : So I was calling because I needed to update my information. In regards to requesting some funds and I wanted to see if that transaction took place. It looks like they deposited. The dollar into my account so I just didn't know if that's updated.
Speaker1 : Before I answer that question, I would like to clarify. When you say that you are requesting funds, you're trying to get funds. Or transfer it to Or Make a payment, right?
Speaker2 : Yes.
Speaker1 : Okay, and can you confirm to me when was the date that you have requested that one?
Speaker2 : It was yesterday.
Speaker1 : Just to provide you some information, I did not see any type of request funds because it will show like our funds withdrawal here in our right. so it didn't withdraw. I needed to I set it up for.
Speaker2 : I set up for confirmation to link my account.
Speaker1 : Even if
Speaker2 : What was that when you say.
Speaker1 : I would like to confirm also, I do apologize for the inconvenience, but I'm actually glad that you called about this. Okay, I'll help you out whatever I can, but I would like to confirm when you say that you are linking it, is it? Are you sending that fund directly towards the provider or?
Speaker2 : No, it was coming to my personal account. Yes, to myself. So I fed up with banking information.
Speaker1 : Okay, I think just to make sure, okay, you are trying to do linking of your bank account so that you can do a. Request
Speaker2 : Yes.
Speaker1 : Okay, so technically you are still in the process in linking your account so that you can do a request funds on your account. Right. Okay, let me just check my tools in here regarding. The Linking because it may take up to three Business days because our system will send a micro deposit to your bank. Let's double check. But you still did mention that it was yesterday. I'll still double check. Okay, Miss Curtin and I'll place you hold maximum of 5 min. Okay, Thank you. Bear with me. Would that be okay?
Speaker2 : Yes, sir.
Speaker0 : Yes.
Speaker1 : Thank you.</t>
  </si>
  <si>
    <t>Transaction inquiry refers to checking the status of a financial transaction.</t>
  </si>
  <si>
    <t>missing debit card</t>
  </si>
  <si>
    <t>Missing Debit Card</t>
  </si>
  <si>
    <t>Speaker2 : Hi, thank you for calling Inspire Financial. My name is Carla. In order to better assist you, can you provide me your member number? Which may be the same with your social security number.
Speaker1 : I'll give you my social security number. 474. Seven two 4238.
Speaker2 : Thank you and your 1st and last name please.
Speaker1 : Vicky Boggs.
Speaker2 : Thank you. And is it okay if I call you by your 1st name?
Speaker1 : Yes.
Speaker2 : Thank you, Vicky and Can you verify me as well what type of benefit you were calling for?
Speaker1 : What benefit
Speaker6 : Yes, what type of accounts?
Speaker1 : Oh F. do you mean a flexible spending account or a health savings account?
Speaker2 : Okay, thank you so much. And the F the security account. Can you provide me your full address?
Speaker1 : 23 Falls Road, Columbus Ohio, 43214.
Speaker2 : Thank you and your best call back number in case of the line got disconnected.
Speaker1 : 642-70-6972.
Speaker2 : Thank you. Just to verify it's 64270697 02:00 a.m., I correct.
Speaker1 : Yes, yes.
Speaker6 : Thank you. And lastly, the last four digits of your Inspire financial debit card.
Speaker1 : I don't have that on me.
Speaker2 : Okay. Since you don't have the physical card with you, can you provide me one of the latest transaction that you made for this account, the date and the amount?
Speaker1 : I paid 3382.
Speaker2 : Can you provide me the date?
Speaker5 : No, I don't have the day. It was a very.
Speaker1 : Short time ago.
Speaker2 : Okay, how about your. Yes, ma'am. I need the exact date due to you don't have the last four digits of your debit card for security and privacy reasons. How about on your payroll deduction? Do you remember any date and amount?
Speaker1 : $10 a month. I don't know. it's $10 a month, I think.
Speaker2 : Okay. Do you have the Do you remember the recent one for the date even estimated? No, I don't have a date. Oh my gosh.
Speaker5 : I've given you quite a few things to identify myself. This is ridiculous.
Speaker2 : Yes ma'am, I do understand and I do apologize for that one. I'm just following the standard process for inspired. Since you don't have the physical cards with, okay, here's the card. Here's the card. I just went and found it. 5867. Thank you. And how can I help?
Speaker1 : Oh my god.
Speaker5 : I want to know what the balance is in my account because you keep denying payment for a DR.
Speaker1 : Drug that I'm trying to pay for.
Speaker2 : Just to provide your available balance, that would be $260.
Speaker1 : Okay, so why is it keep denying I'm trying to get hell ST ST paid off.
Speaker5 : Of $70 and I keep getting a denial.
Speaker2 : Okay, for that one, let me go ahead and double check. Just kindly give me 5 min. I'll double check with your debit card set. Okay, thank you.
Speaker3 : Hiding keeper patiently waiting Vicky. And according with your concern, as I can check here, your card is active and you have a sufficient balance of $260 and you can use the card for any medical expense as long as it is eligible on your account. And as for checking with the Transaction you made is last July 22. That's the reason why you are not able to use your card because regarding with the return funds you made or payback account. We just received the payment on the time, but the card is not yet reinstated. So for this one, if you will use your card right now, the card is already active and there is no any declaration you will receive. Okay, thank you. You're welcome. And is there anything else I can help you with aside from this one? No, no, thank you.</t>
  </si>
  <si>
    <t>check balance refers to verifying the available funds in an account.</t>
  </si>
  <si>
    <t>Speaker0 : Yeah.
Speaker2 : Thank you for calling Inspire Financial. My name is Bono. To better assist you, can I have your full name?
Speaker1 : Yeah, it's Lori St.. Laurent.
Speaker2 : All right, and then Miss St. Lawrence just to SE the account. Can I get your mailing address?
Speaker1 : Yep, seven Hawthorne Lane, Ashworth, new hampshire, 03062.
Speaker2 : All right, and then can you provide the last four digits of your flex spending card?
Speaker1 : I think it's two, oh, nine, but let me pick it up. Let me. Take a look here. 219.
Speaker2 : Okay, and then just in case we get disconnected, is there also a good callback number for you?
Speaker1 : 603 4387708.
Speaker2 : Okay, thank you. And how can I assist you today? So how do I close this account since I'm no longer part of the Hsa? To close the account. Have you already created an online account?
Speaker1 : No. What do you mean? I. yeah, I'm looking at it now, I think.
Speaker2 : Okay, if you have an online account set up, what you would do is. You would From the main screen. So you click home if you're on the main screen, you're going to scroll down. And you're going to look for View account details. It
Speaker1 : Okay, I see that. Yeah, I got it.
Speaker2 : Okay, and then when you click that, it should add it at the bottom. If you want to scroll down where all the links is, you should see a little link that says close Hsa.
Speaker1 : Let's see to do list expense manager. No, I don't see it. I'm looking at the balance and then the quick links. Is it in the quick links?
Speaker2 : Well, It should just be, do you see like a whole lot of links? It's just like view Hsa statement. And I know there's one that should say manage funds, but. Normally it should show like a little link that's, but if it's not showing, I've run into it before where it doesn't show. So if you don't see it. Then what you, the other, the other thing you could do is if you go to documents and forms and look under administrative forms and then just look for the Hsa closure for now the closure process takes. 14 days to close. There is a $25 closure fee that they would deduct from the balance and then they would just send you the funds once the accounts.
Speaker1 : Okay, I still under documents. I don't see the. To close it
Speaker2 : Did you go to administrative? Documents, administrative forms, and then you Should see you should scroll down on the forms and then you'll see the Hsa. It should just just the Hsa closer for that definitely should be on. Is that what it says? Oh yeah, okay.
Speaker1 : And then how do I do that? Can I fill it out right online?
Speaker2 : I don't know if it is. A form you can fill out. I guess it actually what it boils down to is you have that Adobe writer where you can type into the form. but if not, what you would do is, and I'm going to give you an email address that you can send it to. Once you Complete it, but you can always If you can print it out. Fill it out, take a picture of it so you can scan it to get it back electronically and then email it. Back
Speaker1 : Okay, okay. what's the email or what's the fax number?
Speaker2 : Well, There is a fax number on the form, but. I wouldn't advise really fixing it. I would either say either mail it or email it.
Speaker1 : Okay, okay. what's the.
Speaker2 : The email is going to be CV S like the company. Then C, I, P, that's C as in Charlie, I as in Igloo, P as in Paul. Inspirational.com.
Speaker1 : Okay. All right, thank you very much. I appreciate it.
Speaker2 : No problem. Now, is there anything else I can answer for you?
Speaker1 : No, that's it. Thank you very much.
Speaker2 : Oh, you're more than welcome. You have a good day, Miss St.. Laurent. You too. Bye bye. Bye bye.</t>
  </si>
  <si>
    <t>Close account refers to the process of terminating an account.</t>
  </si>
  <si>
    <t>Speaker1 : Thank you for calling Inspire Financial. My name is Shona to assist you and I have the account holders 1st and last name along with the zip code, please.
Speaker2 : Yes, my name is. my 1st name is Jack Woolen, J A C Q U E L I N E Last name board B O E R S.
Speaker1 : And your zip code, ma'am, 97128. Thank you. And are you the account holder? Yes, I am. Okay. And I have the last four of your social. I'm sorry, what was the last one of the social?
Speaker2 : My last four of my social are 8430.
Speaker1 : Thank you. And could you verify your mailing address?
Speaker2 : Yes, it's 702 Northwest Michael Book Court. That's Mcminnville, Oregon, nine 70 128. And lastly, may I have a callback number? My callback is 971. Excuse me, 2370910.
Speaker1 : Thank you. And do you go by a different 1st name?
Speaker2 : You can call me Jackie. Jackie. Okay. All right. How may I assist you today? Jackie? Okay, so I actually have just retired from my company, the Simpson Lumber Company, and. I've set myself up to do Cobra. And I've linked my bank account to my profile because I just want to go ahead and make my payment through that way. I have a question for you on that. So it says on here on my Hsa is to link a bank account to my Hsa. There is the only way for me to get my funds back to make my. Cobra Premium is my only way to get that back is through a check in the mail or can I get that deposited into my bank account? This link.
Speaker1 : I'm not understanding your question. Are you trying to link your bank account to your Hsa? It already is. I already have that done.
Speaker2 : So here's my question. I have to make my 1st payment and my payments due on August 1. So I actually just went in there to say, okay, I'm going to go ahead and make my payment. However, the system's wanting me to put, and I want to know if this is normal, the system is wanting me to put all my information in again. they are, which the system already has. Is that normal?
Speaker1 : Well, your Cobra account is totally different from your Hsa account.
Speaker2 : Okay, go ahead. Sorry, and I'm looking.
Speaker1 : Under their bank account information and I don't see any bank account here for you listed under Cobra.
Speaker2 : So I already got the approval. That it accepted it. So I guess That's okay. So that's really strange. So it had me enter all the information. So now you're saying I have to do it again.
Speaker1 : Through the Yes, because we don't work with Hsa. That's a totally different department.
Speaker2 : Okay, so let me ask you this. So. Is the only way and I don't know if you know the question or not. So if I make my payment online today, which I plan to. Is the only way for me to get my funds because Hsa pays for my Cobra premium. that is an acceptable coverage. is the only way for me to get my funds is for me to request funds and get a check mailed to me or can that be deposited into my account? If you look at my Hsa, you can see that my checking account is linked with my Hsa. That's what I'm trying to explain to you, Miss Jackie. I don't work in an Hsa department, so I don't have your Hsa information. So who am I talking to? I requested to talk to someone from Hsa. You're speaking with the Cobra department. Oh, well, they transferred to the wrong person then.
Speaker1 : Okay, well that's no problem. I can get you directly over.
Speaker2 : Okay, so hold on for a 2nd then. So. Okay, so. Do I have? Okay, so when I make my payment, am I going to have to go through the same thing, then again through the Cobra to set up my notification to link it with my bank account, which my bank account is already linked to my Hsa?
Speaker1 : That's what I'm trying to explain. So if you want to set up, if your Hsa is paying for your Cobra out of your Hsa account, your Hsa have to set that up through their system. But if you want to make your Cobra payment out of your own personal checking account and you want that to be like reoccurring, then yes ma'am, you will have to put your checking information under your Cobra account. Because those two are not linked together.
Speaker2 : Okay, so. Okay, so it sounds like that's what I have to do then. I don't think I need to be. I guess I. Yeah. It's so confusing. so. I thought That And you're Cobra right now and I want to make my account online is going to have, is it going to have me verify my bank account again just like it did with my Hsa? Because now I don't know why I have my bank account listed with my Hsa. I don't know if inspired can take it directly out of my Hsa to pay for Cobra.
Speaker1 : It is possible, but you will have to speak with the Hsa department so they can set that transaction up for you on a monthly basis from your Hsa balance. Okay, okay. That's what I'd like to do if you don't mind. That'd be awesome. Okay, let me just make sure if I transfer you over, you would like for your Cobra monthly balance to be paid out of your Hsa account, correct? Yes, that is correct. All right, which is something that can be done, but the Hsa department have to set that transaction up for you. Okay, okay, sounds good. All give me one moment. I'll transfer you directly over. Perfect. Thank you. No problem. 1 s.</t>
  </si>
  <si>
    <t>payment setup</t>
  </si>
  <si>
    <t>Payment setup refers to configuring a method for making payments.</t>
  </si>
  <si>
    <t>Speaker2 : Hello, thank you for calling in Crest Griffith. And are you the account holder? Yes, ma'am. Can I have just the last four digits of your Social Security number, please? 7174. And could you please verify your address?
Speaker1 : 2111 Cent Street, Petersburg, virginia, 23805.
Speaker2 : Thank you for that and I do also need the last four digits of your debit card, please.
Speaker1 : The last digit of the card. I lost the card. I don't have it. That's why I called in like two weeks ago to get a replacement card and I still don't have the card.
Speaker2 : Okay, so. Do you happen to know the month and year from when your account 1st started with inspired financials?
Speaker1 : It would be April What was the day of April? I know it was 2024. When was in 2024?
Speaker0 : Oh.
Speaker1 : I had a plan 2025 this year. I had one Last year with Cbs and I believe I believe it will be 2024, but I can't remember the month and the phone thing just told me. I want to say it was April 2024 maybe.
Speaker2 : Okay, I know that doesnt exactly match our records. Is that your newest account with us? No, the newest one is six 01:20 25. Thank you so much. I can use that for verification. And give me just one moment and I can check on your card status.
Speaker1 : DR. can turn it down.
Speaker2 : Okay, and it does show here there was a debit card requested for you early July. Now the most recent card Was actually shipped out for you on July 15. And Yeah, it was shipped on July 15, 2025, and it would have showed up in a plain white envelope with only our Inspire financial logo. So at this point. Miss Griffith, it's it's up to you whether you would like to allow a few more days for the mail carrier to deliver that card. Because the other option would be just to pretty much. Have that one canceled out and issue a new one. Because it does show this is the 2nd card that we've shipped out for you. And I'm just going to double check the address here. Yeah, the address matches what we have on the account for you.
Speaker1 : I guess I wait if that's my house address. and I did. I checked the mailbox every day, so I waited a little bit longer.
Speaker2 : And I did just double check it. It doesn't show that the card has been returned to us for any reason either. So it's been shipped to the address on file. So. Because after this The only other option is If you don't receive that card, if you have like an alternate address that we may be able to use in case there's something going on with, you know, mail delivery in your area. But other than that, it just confirms that the card was shipped and. It was on its way.
Speaker1 : Thank you.</t>
  </si>
  <si>
    <t>missing debit card refers to a situation where a customer has not received their debit card after requesting a replacement.</t>
  </si>
  <si>
    <t>Speaker4 : Thank you for calling Inspire Financial. My name is Adore. To better assist you, could I please have the account holder's 1st and last name and zip code?
Speaker2 : Ann Goldman, 276. Oh, six.
Speaker1 : Thank you.
Speaker4 : And Ms. Goldman, could you also verify the last four digits of the member Id number? It may be the same as the Social Security number.
Speaker2 : 3870.
Speaker1 : Thank you. And could you also verify your full address?
Speaker2 : 6331 Deere Drive, Raleigh, North Carolina 276. Oh, six.
Speaker1 : Thank you.
Speaker4 : And can you verify? And can you verify the last four digits of the debit card?
Speaker2 : 0132.
Speaker3 : Thank you. And would you like to provide a callback number?
Speaker2 : You should have it on file.
Speaker1 : Okay. Yes.
Speaker3 : Actually, no, I do not show a phone number on file.
Speaker2 : 999-86-0782.
Speaker3 : Thank you so much. And how can I assist you today, Miss Goldman?
Speaker2 : My debit card has been suspended due to a charge that I have requested multiple times to receive information on what you received on it. And because my social security number has been incorrect until. July 10. I have not been able to get that information from you, so. Can you tell me where this card was charged at? What location? What's the date? Anything I know the is March 3.
Speaker3 : Okay, yes, it shows. Well, it looks like it was paid on the my chart, so I don't know if that was in person or online, but Duke Health my chart for $40 on March 3, that's all the only information we have from the transaction.
Speaker2 : Which is interesting because when I contacted Duke, they say they didn't receive a charge or a payment of $40.
Speaker3 : Did the payment go through on the my chart when you made the payment? Did they confirm it went through?
Speaker2 : As I said, they show they never received payment of $40. They don't know what A33 charges for from.
Speaker3 : Okay, so I understand that the provider is saying they didn't get it. Are you saying provider saying they didn't get it or?
Speaker2 : No one is showing record of receiving $40 from my Fsa card.
Speaker3 : Okay. I'm not really sure where to go from here. Well, that makes two of them. And I have almost $1000 being held.
Speaker2 : Because of this mystery $40 charge.
Speaker3 : So there's no money being held. Even if the card is suspended, you can still access the money there. You would just have to pay out of pocket and file a claim to get reimbursed.
Speaker2 : Yeah, which means my money is being held because you're not going to reimburse me until there's some 40. This mystery is solved and it's frustrating because I have sent four faxes asking for this information and no one's replied to me.
Speaker3 : You send faxes asking us for the information.
Speaker2 : Yeah, no one has returned my phone call. No one has replied back to me at all with any of this information.
Speaker3 : I'm sorry. Yeah. But yeah, as far as all we know is the card was used on the my chart for Duke Health for $40 on March 3. Our system is not going to produce any other information.
Speaker2 : Why has nobody contacted me back when I've repeatedly sent faxes requesting for information, the last one being July 21?
Speaker3 : So I can't answer that. I don't know who responds to the faxes. Apparently no.
Speaker2 : Terrible customer service So now I'm stuck in the middle here. And I have a car, I have almost $1000 I cannot use because you guys are holding it up for something that I have no idea what it is and my doctor's office doesn't know what it is. So what am I supposed to do?
Speaker3 : Okay, so some other options would be if you have any. Expenses that you've paid out of pocket for, you can file a claim and offset the $40 or you can pay back the $40 to the account to get the. So either way, you want me to pay for something that I don't even know what it's for. So how can I pay for something if I don't even know what it's for? How do you know that somebody can take my card and charge it someplace else for someone else?
Speaker2 : But I'm being responsible for this mystery. $40, a lousy $40 you want me to pay for when I don't even know what it is.
Speaker3 : Well, clearly it's a payment for a health service that Duke Health provided. Well, clearly doesn't have a.
Speaker2 : It
Speaker1 : Okay, well.
Speaker3 : That you would have to take up with my chart, why they're not showing the payment or do health as to why they do not have your payment for $40 that you made with your Fsa debit card on March 3.
Speaker1 : Okay, good bye.</t>
  </si>
  <si>
    <t>Transaction inquiry refers to a request for details about a specific financial transaction.</t>
  </si>
  <si>
    <t>Speaker1 : Thank you for calling Inspire Financial. My name is Roger. In order for me to better assist you, may I please have your member number, which may be the same as your Social Security number?
Speaker2 : This is not for me. I'm calling for a. About a check that we received from our company. We're trying to identify what it is that you are paying for.
Speaker1 : You received the check from your company.
Speaker2 : We received a check.
Speaker1 : Inspire
Speaker2 : Yes, from Inspire and we need a copy of what it is. Who or what it is that you're paying for.
Speaker1 : Well, may I know your name and. Which department are you calling for? Are you the provider?
Speaker2 : Yes, provider.
Speaker1 : Can you have the check number?
Speaker2 : Yes, the check number is 587-53-0101.
Speaker1 : 5875301. The date of the check, please.
Speaker2 : July 23 of 25.
Speaker1 : Thank you so much. May I know your name for me to address you?
Speaker2 : My name is Tish.
Speaker1 : Thank you. Bear with me. I'll be. Checking all the information here on my end. Bear with me.
Speaker2 : Okay.
Speaker1 : Don't care one moment.
Speaker2 : Sure.
Speaker0 : Sure.
Speaker1 : So you don't have any name on the. Check Where Or paying for
Speaker2 : No.
Speaker1 : No. So Do you have your callback number in case our line got disconnected?
Speaker2 : Yes, my number is hold on. It's 256. 615. 8554554.
Speaker1 : Thank you. I'll put you on hold and I'll be checking more information. 1st. I'll get back to you. Give me three to 5 min. Thank you so much for holding on the line, Bisha. Sorry for the long wait. I was able to or I tried to search the check number here on my end. Unfortunately, I cannot be able to find any account. What I'm going to do is I'm going to reach out to our back end team. To check the details Of the check that was sent And once they replied, I'll be calling you back to inform which the payment is for. Can you be able to provide me? The amount of that check.
Speaker2 : The amount is $100 even.
Speaker1 : Thank you. Just to verify, the check date will be July 2320, 25.
Speaker2 : Yes.
Speaker1 : Your call up number is 256-65-8554. Thank you and Once I receive the response from our backend team, I'll be calling you back. If that's okay with you.
Speaker2 : Yes. Just to make sure that I am The right place. This is inspire financial help.
Speaker1 : Correct, we're from Inspire Financial Health Services. May I know also your name or the name of the provider?
Speaker2 : North Shore Li urgent care.
Speaker1 : And also The Check Came from Omaha, Nebraska.
Speaker2 : Yes.
Speaker1 : Correct, that is actually our address. So We'll Send the request or for the backend team to check that for you and I'll be reaching out to you to inform which the payment for.
Speaker2 : Okay. Do you have like how many, how long will it take? Will it take more like 24 h or?
Speaker1 : Yeah, 24 to 48 h.
Speaker2 : 24 to 48 h. Okay. Okay. Can I provide you my email address just in case you couldn't give me? Contact me over the phone. Contact me over the phone.
Speaker1 : Sure thing. Can I have the email address?
Speaker2 : Sure, it's Tsa. That's T as in Tom, E as in Edward, S as in Sam, H as in Harry, A as in Apple. Davis D as in dog, A as in apple, B as in victor. Go health Go health Uc Dot com
Speaker1 : Just to verify that ST ST shot at Davis at go help. Us us.com.
Speaker2 : Go help you see.com. I'm sorry.com.
Speaker1 : They got it.
Speaker2 : Okay, and what was your name? What was your name? My name is Roger.
Speaker1 : They want me to spell it. Correct.
Speaker2 : Okay, all right. Well, thank you so much, Roger, for your help.
Speaker1 : You're welcome. Thank you for calling Inspire off, you know, show. Bye now.
Speaker2 : Bye.</t>
  </si>
  <si>
    <t>check inquiry</t>
  </si>
  <si>
    <t>Check inquiry refers to identifying the purpose of a received check.</t>
  </si>
  <si>
    <t>Check Inquiry</t>
  </si>
  <si>
    <t>Speaker1 : Thank you for calling Inspire Financial. My name is Renan. To better assist you, may I please have your full name and your zip code?
Speaker2 : Michelle Alford, 37122.
Speaker1 : Thank you so much for that information, ma'am. Can you spell out the last name for me?
Speaker2 : A L F O R D
Speaker1 : You so much, Miss Alfred, and let me And I just want to make sure if I have or if I spell out the 1st name correctly, it's M I C H E L L E. Thank you. When I'm in here, let me pull up your account information.
Speaker2 : Excuse me.
Speaker1 : Just give me one moment here. Let me pull up your information. Thank you. Okay, so I already have your account information pulled up, Miss Alford, just for ver. Can I also have the address on file?
Speaker0 : I've just verified what they need. This is something they need. This is taking up too much time. I just went through a verification process and I still have to verify. They need to revamp that because I'm on my work hour and it just doesn't make any sense. 1702 Eagle Trace Drive, Mount Juliet, Tennessee, 37122.
Speaker1 : I Yes, I will relate your feedback to my supervisor to have this issue fixed as well and. I'm so sorry, ma'am. Lastly, to complete the account verification, can I have the last four digits of your Pay Flex debit card or Inspire financial card 675? Thank you so much for fully verifying your account before we proceed, just in case we get disconnected or there's a future follow up. Can I have your phone number?
Speaker2 : So we don't know. I'm, I just left the store. And I tried to use my flip card to buy over the counter medications and it didn't go through.
Speaker1 : I see. I apologize for that inconvenience. Let me check here what happened, why your card got declined. Can I put you on hold for three to 5 min for me to go over on your card information? Thank you so much, ma'am. Please bear with me. Thank you. Thank you for patiently waiting and I apologize for the long haul, Miss Alford. So yes, I checked the account here. It shows that on how they set up your account, it's in auto pay setup, so you can only use your card for prescription. But when I check the transaction here or the previous transaction that you did today. I show an attempt for $15.94 in Walmart Super Center and Reason why it got declined because Shows none Iaas transaction or Maybe The item that you're trying to purchase wasn't coded as. Fsa eligible item because sometimes they're the medication over the counter medicine over the counter, all three of them aspirin. I apologize for that inconvenience, ma'am, but yes, if it's over the counter. It shows that your card can be only used for prescription drugs and the rest. it's set up as auto pay. So how auto pay works is that after you made a purchase or after the provider completed the service, they will.
Speaker2 : Are you telling me that over the counter medicines aren't covered under flex spending?
Speaker1 : No, ma'am, I'm sorry. Oh sorry, go ahead.
Speaker2 : Are you saying that over the counter medicine is covered?
Speaker1 : It's covered. It's just that how they set up your account. Based on the covered expenses on your account here, you can use the fund for deductible dental orthodontic, but how they set up your card is you can only use your card for. Prescription drugs and the rest is in a setup.
Speaker2 : The way who set up my car because that's not the way it should be.
Speaker1 : Normally, ma'am, the employer is the one who set up the account or. What expenses you can use your card and we're just the receiving end for this transaction.
Speaker2 : Okay, alright, I'll call them. Thank you.</t>
  </si>
  <si>
    <t>Transaction inquiry refers to a request for details about a specific transaction.</t>
  </si>
  <si>
    <t>Speaker3 : Thank you for calling Inspire Financial. This is Joan. To better assist, you may have your full name and zip code.
Speaker2 : That's Natalie Surratt. The zip code is 06907.
Speaker3 : Thank you. Can you spell your 1st and last name, ma'am? 1st name is Natalie N A T A L I E. Last name is Sarah S U R E T T E. All right, thank you. Let me just pull up your account here one moment. All to secure your account. Miss Srem, your address. One address, ma'am, the one in file. It's 34 Twin Brook Drive, Stamford, Connecticut, 06907. All right, thank you. And how about the last four digit of your pay flex or inspired debit card? Can you please confirm it's 7078? Thank you. Can I have your callback number please in case we'll get disconnected?
Speaker2 : 773. 968. 3287.
Speaker3 : Thank you. To confirm that. 773-968-3287, right? Yes. Thank you so much. And how can I help?
Speaker2 : I received an email. From Inspir'd Fraud Management team. Suggesting that I did initiate an electronic funds withdrawal. Well, a transfer to my bank account because I paid something with my credit card and I was trying to pay myself back and that it seems like it was flagged as fraud.
Speaker6 : As
Speaker1 : Okay.
Speaker3 : I'm so sorry to hear about this. Let me check on it.
Speaker1 : Yes, indeed there is a funds withdrawal initiated last July 27. One for $530.40. Another Withdrawal for $2571.70. So you made these transactions right? Yes.
Speaker6 : Yes.
Speaker3 : Right. Thank you. They're actually Checking just to make sure that it was you who made the transaction. So they wanted you to verify, ma'am, the Bank account name.
Speaker1 : And also the last pre digit on the account number.
Speaker2 : The account, is it Chase? Is that like the bank account name that you're looking for? It's a Chase account. The Jp Morgan Chase.
Speaker3 : Thank you. And then the last
Speaker2 : For 9713
Speaker3 : Right. Thank you. I'm sorry, I think there's a delay on the audio. Thank you for confirming that information. Here's what I'm going to do. I'll be sending.
Speaker1 : An email To our fraud management team informing them that you were able to verify these withdrawals and that it was you who made the. Transactions. I'm gonna send them a request to release this. Once Withdrawal. please bear with me for a while. Allow me three to 5 min to send an email. Okay, thank you.
Speaker5 : Thank you for patiently waiting on the line. Mr. S has already sent an email to our product management team informing them to release the withdrawal request since you were able to verify the information. So okay, like up to five business days for this funds to be.
Speaker4 : Transferred to your bank account. Okay, anything else? No, that was all. Thank you.
Speaker3 : You're welcome. You may also visit the website Pam inspire final.com to check status and his.
Speaker4 : Withdrawal. Thank you so much for calling Inspire Financial and you have a great day. Take care. Bye for now. Thank you. You too. Bye.
Speaker1 : Bye bye.
Speaker0 : You</t>
  </si>
  <si>
    <t>Report fraud refers to notifying the institution about suspicious transactions.</t>
  </si>
  <si>
    <t>Speaker1 : My name is to better assist. May I have the account holder's name?
Speaker2 : The account holder's name is Angel Sagara.
Speaker1 : Angel, can I have you spell the last name, please?
Speaker2 : S E G A R A
Speaker1 : Thank you. And are you the account owner?
Speaker2 : I am not
Speaker1 : Okay, may I have your 1st and last name?
Speaker2 : My 1st name is Miranda, M Y R A N D A. Same last name Sagara.
Speaker1 : Okay, and what's your relationship to the account owner?
Speaker2 : I'm his wife.
Speaker1 : Okay. Right. Okay, to secure the account, can you verify the address, please?
Speaker2 : It's 85 Cranston Drive in Groton. Connecticut, Oh 634, Oh.
Speaker1 : 1 s All right, and what would be the last four numbers of the Inspire card?
Speaker2 : The inspired card are 9778.
Speaker0 : Okay.
Speaker1 : I do have the right Can I have you verify the address one more time, please?
Speaker2 : It's 85 Cranston Drive in Groton, Connecticut, 0634. Oh.
Speaker1 : Okay, correct. And this is for the Hsa account.
Speaker2 : Yeah.
Speaker0 : All right, just in case we get disconnected, may I have a callback number? Yep, 304.
Speaker2 : Six and 29 3473.
Speaker1 : Okay, how can I assist?
Speaker2 : So we're having trouble getting. On the online portal. We have a username and password, but every time it asks us for the verification code, it says it's being sent to an email and it's not. Getting to my husband. It's not getting to his work email, so we don't know how else to sign in. And I thought when I originally made the account, I clicked text the verification code to his phone number, but it chose the email instead of text.
Speaker1 : Okay, and what's the employer's name?
Speaker2 : Dominion Healthcare or Dominion. Oh my gosh, Dominion Energy. Sorry, I'm in healthcare, so. Just stop me.
Speaker1 : So for this Hsa account, I don't think that the account holder has. A profile on the website, it doesn't show that they have created an account online.
Speaker2 : Okay.
Speaker1 : So Yes. We just made
Speaker2 : Like just To make the account this weekend. And it's asking for a verification code. is it possibly because. We haven't done the verification yet. Is that why it's not saying that there's not an account?
Speaker1 : No, because when you create an account, it has to create all the way and you into the account, if you did not finish and it didn't take you into the account, it would not create an account. So you have to do all the way until it takes you into the account. So we did as far as it would let us. and then it said, okay, log in. And we tried to log in and it said, okay, we need a verification code. And that's where we got stuck. No. We have to start over and create a new account if you're able to. I can guide you through to make sure your account is created online.
Speaker2 : Perfect. I mean, I can do that. My little one might come in and out of the room.
Speaker1 : And do you have the member with you to give you content?
Speaker2 : He's at work at the moment.
Speaker1 : Oh, okay, Because they need to give consent. I don't see you on this account as an authorized representative for that. So if you have them on the line, if they give a consent, we will be able to guide you through the website.
Speaker2 : Is there a link that you can send to the email on file and he can do it and then he can just give me the information.
Speaker1 : No. There's no link for that. No.
Speaker2 : Okay, how late are you guys open?
Speaker1 : Until 07:00 p.m., central time. Okay, perfect.
Speaker2 : Then I will give you guys a call back as soon as he gets home from work and we'll. Get this taken care of. All right, ma'am. Any other questions? Nope, that was it. Okay. All right, thank you for calling.
Speaker1 : Thank you and have a good day. Bye you too. Bye bye.</t>
  </si>
  <si>
    <t>Account setup refers to the process of creating a new account.</t>
  </si>
  <si>
    <t>Transcripts</t>
  </si>
  <si>
    <t>Intent</t>
  </si>
  <si>
    <t>intent_detail</t>
  </si>
  <si>
    <t>Cluster_L2</t>
  </si>
  <si>
    <t>Cluster L1</t>
  </si>
  <si>
    <t>Aht(min)</t>
  </si>
  <si>
    <t>A customer reported fraudulent transactions on her health savings account, and the customer service representative assured her that her card would be replaced and the transactions would be reversed.</t>
  </si>
  <si>
    <t>The customer had trouble creating a profile and verifying their email, but with the representative's guidance, they were able to resolve the issue and access their account. The representative also provided information about their account balance and the deadline for filing claims.</t>
  </si>
  <si>
    <t>A customer reported unauthorized charges on her debit card, and the customer service representative confirmed the latest attempted charge and assured the customer that they would resolve the issue.</t>
  </si>
  <si>
    <t>A customer, Craig, called participant services to set up an account to upload receipts. He provided his employee ID number, last four digits of his card number, and expiration date. He was guided through the registration process, including creating a login ID and password, and was assisted in resolving issues with the website.</t>
  </si>
  <si>
    <t>The conversation is between a customer, Kimberly, and a representative, Angela, from Inspire Financial. Kimberly is trying to set up a payment method for her dental insurance, but Angela informs her that Inspire Financial does not accept debit cards, including the Emeriti Retirement Health card.</t>
  </si>
  <si>
    <t>Customer experiences issues with debit card being declined on Amazon due to glitch, customer service representative works to resolve issue and informs customer of card being active.</t>
  </si>
  <si>
    <t>Richard Downs closes his HSA account and updates his mailing address with Inspire Financial, with a $25 closure fee and a remaining balance of $871.41.</t>
  </si>
  <si>
    <t>A customer, Hui Chin Rogers, calls Inspire Financial to reactivate her suspended debit card. The customer had previously sent in the necessary documentation, but the card remained suspended due to an outstanding balance of $109 from the 2024 plan year. The customer service representative, Cda, confirms that the documentation was received and that the processing time frame is up to five business days. After researching the account, Cda is able to reactivate the customer's card and provides her with the current balance of $1173.81, which will carry over to the next year if not spent by December 31.</t>
  </si>
  <si>
    <t>The customer had an issue with their Inspire Financial account, specifically with paying a bill from their doctor's office using their FSA card. The customer was informed that the 2024 plan year had been depleted of funds on October 30, 2024, and therefore, they could not use the 2025 funds to pay for the 2024 date of service. The customer was also offered assistance in accessing their online account to review their balance and transactions.</t>
  </si>
  <si>
    <t>The conversation is between Josh and a specialist regarding a customer's account issue. The customer, Miss Laurie Taft, had her card declined due to an overpayment, but one of the payments went through. The specialist investigates and finds that there were multiple plan years within 2025, which might have caused the issue. They also discover that the customer had an overpayment, which is causing the card to be currently inactive. The specialist suggests that the customer might be able to submit for a hardship, but Josh is working on clearing the overpayment. The specialist reactivates the card and informs Josh that the customer is all set to start using it.</t>
  </si>
  <si>
    <t>The customer, Debbie, contacted Inspire Financial to verify the status of her debit card and FSA account. The agent, Deandre, confirmed that the debit card is active and the customer can use it to pay for medical expenses, dental vision, prescription drugs, and over-the-counter items. The agent also informed the customer that she has $400 available in her MRA account and $1101.07 available in her healthcare spending account. The customer asked about claiming funds back for a dental appointment paid out of pocket, and the agent explained the process of filing a reimbursement claim through the online account or by mail.</t>
  </si>
  <si>
    <t>The conversation is about a transaction of $2130.89 on July 20 for a prescription of Let Flo Capps 50 mg. The speaker, Steve Tso, is trying to understand why he was billed for this transaction, as he thought he was on a copay assist program. The representative from Express Scripts, Marcy, is trying to help him understand the transaction and is transferring him to a Credo agent to further discuss the issue.</t>
  </si>
  <si>
    <t>The customer's credit card was suspended due to a charge from January 3rd, 2025, for $439.20. The customer was asked to provide an itemized receipt or an explanation of benefits, but they claimed to have already provided the document last year. The agent explained that the charge was from 2025 and that the customer needed to provide the document from their 2024 health care spending account. The customer eventually found the receipt and agreed to upload it. However, they encountered issues with uploading the document due to password protection and were advised to remove the password or take a picture of the document to send to the agent.</t>
  </si>
  <si>
    <t>The customer, Leo, is calling on behalf of his mother who is in an assisted living facility. He is trying to understand her Cobra insurance coverage and is unsure if she is up to date on her payments. The agent, Sheila, helps Leo verify his mother's information and explains that her account is set up on automatic payments, eliminating the need for her to fill out payment coupons every month. The customer is relieved to know that his mother's insurance is up to date and thanks the agent for her help.</t>
  </si>
  <si>
    <t>A customer, Arianna Harris, contacted Inspiron to resolve an issue with her debit card being cut off due to a charge. The customer had previously spoken with a representative last week, who attempted to clear the charge using her FSA claims. The current representative, Denise, checked the status and found that the charge had been cleared the previous day. Denise ensured that the customer's debit card was turned back on, and the customer was able to confirm that she could use her card for an upcoming appointment.</t>
  </si>
  <si>
    <t>The customer, Gretchen Peterson, received a notice that her Inspire card was being suspended due to an unverified claim. She wanted to pay back the account to reactivate her card. The agent helped her understand that the claim was from 2025, but the account was in 2024, which is why she couldn't pay online. The agent suggested sending a check or money order to the address provided on the form. The customer agreed to send the payment and thanked the agent for her help.</t>
  </si>
  <si>
    <t>The customer, Jennifer Blanche, called Inspire to report that she did not receive her flexible spending debit card. The customer provided her member number, full name, and address to verify her account. The agent checked her account and found that there was no debit card shipped to her address. The agent requested a new debit card for the customer, which will be shipped to her address within 10-15 business days. The customer was satisfied with the resolution and thanked the agent for her help.</t>
  </si>
  <si>
    <t>The customer, Valerie Michael Mickle, called to inquire about her available balance in her HSA account. She provided her member number, full name, zip code, employer, address, and phone number to authenticate her information. The representative confirmed her available balance as $423 and provided instructions on how to create an online account and download the Inspire Financial app to check her balance and transactions.</t>
  </si>
  <si>
    <t>The customer is trying to update her information and check if a transaction took place, but the linking process may take up to three business days.</t>
  </si>
  <si>
    <t>A customer, Vicky, called Inspire Financial to inquire about her account balance and a denied payment for a medical expense. The agent, Carla, verified Vicky's identity and checked her account balance, which was $260. Carla explained that the card was not active due to a recent return of funds, but it was now active and Vicky could use it for eligible medical expenses.</t>
  </si>
  <si>
    <t>A customer, Lori St. Laurent, calls Inspire Financial to close her HSA account. She is assisted by a representative, Bono, who guides her through the process. The representative explains that the customer can close the account online by clicking on "View account details" and then "Close HSA" or by downloading and filling out a form, which can be emailed or faxed to the company. The representative provides the email address and fax number for the company, Inspire Financial.</t>
  </si>
  <si>
    <t>The customer, Jackie, is trying to make a payment for her Cobra premium through her HSA account. She has already linked her bank account to her HSA, but the system is asking her to enter her information again. She wants to know if she can deposit the funds directly into her bank account instead of receiving a check. The agent from the Cobra department explains that the HSA department needs to set up the transaction to pay the Cobra premium from the HSA account on a monthly basis. Jackie agrees to be transferred to the HSA department to set this up.</t>
  </si>
  <si>
    <t>The conversation is between a customer and a representative of Inspire Financials. The customer is trying to verify her identity and obtain a replacement debit card. The representative checks the customer's account and confirms that a new debit card was shipped to her address on July 15, 2025. The customer is advised to wait a few more days for the card to arrive or to provide an alternate address if there are issues with mail delivery.</t>
  </si>
  <si>
    <t>The customer's debit card was suspended due to a $40 charge to Duke Health, but Duke Health claims they did not receive the payment. The customer is frustrated with the lack of communication and customer service from Inspire Financial.</t>
  </si>
  <si>
    <t>The customer, Tish, received a check from Inspire Financial and is trying to identify what it is paying for. The customer provides the check number (5875301) and date (July 23, 25). The agent, Roger, checks the information and is unable to find the account. He promises to reach out to the backend team and will call the customer back with the payment details once they respond. The customer provides their callback number (256-615-8554) and email address (Tish Davis at gohealthuc.com). The agent estimates that it will take 24 to 48 hours to receive the response from the backend team.</t>
  </si>
  <si>
    <t>The customer, Michelle Alford, is experiencing issues with her Inspire Financial card, specifically with a declined transaction at Walmart Super Center for over-the-counter medications. The agent, Renan, is assisting her in verifying her account information and explaining the auto-pay setup, which restricts the use of her card for prescription drugs only. The customer is unhappy with the setup and plans to contact her employer to resolve the issue.</t>
  </si>
  <si>
    <t>A customer, Natalie Surratt, contacted Inspire Financial regarding a flagged transaction. She was asked to verify her account information, including her address and the last four digits of her debit card. After verifying the information, the customer was assured that the transaction would be released, and the funds would be transferred to her bank account within 5 business days.</t>
  </si>
  <si>
    <t>The customer, Miranda Sagara, is trying to access her husband's HSA account online but is having trouble receiving the verification code. She initially thought she had opted for text verification, but it was sent to an email instead. The agent guides her through the process, explaining that the account is not created online and that they need to start over. The agent also informs Miranda that her husband needs to be present to give consent for her to access the account. They schedule a callback for after the husband returns home from work.</t>
  </si>
  <si>
    <t>The agent's proactive approach to addressing the fraudulent activity, offering to replace the debit card, and promising to reverse the transactions, demonstrated a high level of customer care and concern for the customer's well-being.</t>
  </si>
  <si>
    <t>The agent was patient and helpful in resolving the issue, but there were some technical difficulties and misunderstandings that caused delays and frustration.</t>
  </si>
  <si>
    <t>The agent's proactive approach to investigating and resolving the issue, as well as their willingness to escalate the matter to the debit card team, contributed to the high level of satisfaction.</t>
  </si>
  <si>
    <t>The agent was helpful and patient, but there were some technical issues and unclear instructions that prevented a more seamless experience.</t>
  </si>
  <si>
    <t>The agent provided a clear explanation of the payment options and suggested reaching out to the Emeriti Retirement Health company to explore alternative payment methods, but did not offer a solution to accept the debit card as requested.</t>
  </si>
  <si>
    <t>The agent's prompt resolution of the issue and proactive communication regarding the glitch affecting the card's status were appreciated, although the inconvenience caused by the glitch was a significant concern.</t>
  </si>
  <si>
    <t>The agent was patient and helpful in resolving the issue, but there were some technical difficulties and confusion about the address update process.</t>
  </si>
  <si>
    <t>The agent was able to reactivate the customer's card and provided clear information about the account balance and plan year end.</t>
  </si>
  <si>
    <t>The agent failed to provide clear and timely communication regarding the account's balance and eligibility to pay bills, leading to unnecessary collection and inconvenience to the customer.</t>
  </si>
  <si>
    <t>The agent was very helpful in resolving the issue with the overpayment and reactivating the card, providing clear explanations and solutions, which greatly improved the customer's satisfaction.</t>
  </si>
  <si>
    <t>The agent was able to provide a clear explanation of the transaction and offered to transfer the call to a representative from the prescription copay assistance program to resolve the issue.</t>
  </si>
  <si>
    <t>The agent was helpful in resolving the customer's inquiry about their available balance, but the customer had to create an online account to access their account information, which caused some inconvenience.</t>
  </si>
  <si>
    <t>The agent's inability to clarify the customer's request and provide a clear explanation of the linking process and the status of the requested funds led to frustration and a lower satisfaction score.</t>
  </si>
  <si>
    <t>The agent provided clear instructions on how to close the HSA account, but there were some difficulties in finding the correct link to initiate the closure process, which led to some frustration.</t>
  </si>
  <si>
    <t>The agent provided clear and helpful information regarding the status of my debit card, and offered a reasonable solution to the issue of delayed delivery.</t>
  </si>
  <si>
    <t>The customer was frustrated with the lack of communication and resolution regarding the mystery $40 charge, which led to their account being suspended and their funds being held.</t>
  </si>
  <si>
    <t>The agent was helpful and patient in resolving the issue, and provided clear explanations and instructions to verify the transactions.</t>
  </si>
  <si>
    <t>-</t>
  </si>
  <si>
    <t>None</t>
  </si>
  <si>
    <t>Agent_Behavior_Score</t>
  </si>
  <si>
    <t>Frustrated</t>
  </si>
  <si>
    <t>NPS_Bucket</t>
  </si>
  <si>
    <t>NPS_Percent_Category</t>
  </si>
  <si>
    <t>James William</t>
  </si>
  <si>
    <t>David Freeman</t>
  </si>
  <si>
    <t>1. High</t>
  </si>
  <si>
    <t>2. Medium</t>
  </si>
  <si>
    <t>3. Low</t>
  </si>
  <si>
    <t>"I didn't even think to look in the 2024 because I forgot all about there being carryover and that it was utilized up until March or whatever when it was shut off."</t>
  </si>
  <si>
    <t>"I'm fed up with banking information"</t>
  </si>
  <si>
    <t>"I don't think I need to be", "It's so confusing", "I don't know why I have my bank account listed with my Hsa"</t>
  </si>
  <si>
    <t>"This is very inconvenient"</t>
  </si>
  <si>
    <t>"I was upset with last year. Sorry.", "I just want to make sure it's gonna go to, um. It's gonna go to like, um. The Lockyer."</t>
  </si>
  <si>
    <t>"I'm not planning to use it anytime soon", "Hopefully so. Basically every charge is unauthorized"</t>
  </si>
  <si>
    <t>"I was panicking", "That makes me feel much better knowing that my mom's up to date on their insurance"</t>
  </si>
  <si>
    <t>"This is ridiculous.", "I want to know what the balance is in my account because you keep denying payment for a DR.", "I'm trying to get hell ST ST paid off.", "I keep getting a denial."</t>
  </si>
  <si>
    <t>"This mystery is solved and it's frustrating", "No one has returned my phone call. No one has replied back to me at all with any of this information.", "Terrible customer service", "I'm being responsible for this mystery. $40, a lousy $40 you want me to pay for when I don't even know what it is.", "Maybe it's time to switch"</t>
  </si>
  <si>
    <t>"This is taking up too much time", "I'm on my work hour and it just doesn't make any sense", "The way who set up my car because that's not the way it should be"</t>
  </si>
  <si>
    <t>BU</t>
  </si>
  <si>
    <t>HnB</t>
  </si>
  <si>
    <t>NPS_BKT</t>
  </si>
  <si>
    <t>High NPS</t>
  </si>
  <si>
    <t>Medium NPS</t>
  </si>
  <si>
    <t>Low NPS</t>
  </si>
  <si>
    <t>Training_Recommended</t>
  </si>
  <si>
    <t>O1</t>
  </si>
  <si>
    <t>O2</t>
  </si>
  <si>
    <t>O3</t>
  </si>
  <si>
    <t>O4</t>
  </si>
  <si>
    <t>O5</t>
  </si>
  <si>
    <t>AL1</t>
  </si>
  <si>
    <t>AL2</t>
  </si>
  <si>
    <t>E1</t>
  </si>
  <si>
    <t>E2</t>
  </si>
  <si>
    <t>E3</t>
  </si>
  <si>
    <t>RP1</t>
  </si>
  <si>
    <t>RP2</t>
  </si>
  <si>
    <t>RP3</t>
  </si>
  <si>
    <t>CR1</t>
  </si>
  <si>
    <t>CR2</t>
  </si>
  <si>
    <t>CR3</t>
  </si>
  <si>
    <t>SE1</t>
  </si>
  <si>
    <t>SE2</t>
  </si>
  <si>
    <t>SE3</t>
  </si>
  <si>
    <t>SE4</t>
  </si>
  <si>
    <t>SE5</t>
  </si>
  <si>
    <t>ESS1</t>
  </si>
  <si>
    <t>ESS2</t>
  </si>
  <si>
    <t>ESS3</t>
  </si>
  <si>
    <t>ESS4</t>
  </si>
  <si>
    <t>RL1</t>
  </si>
  <si>
    <t>ACUS1</t>
  </si>
  <si>
    <t>ACUS2</t>
  </si>
  <si>
    <t>ACUS3</t>
  </si>
  <si>
    <t>ACUS4</t>
  </si>
  <si>
    <t>CI1</t>
  </si>
  <si>
    <t>CI2</t>
  </si>
  <si>
    <t>Agent_Behavior_Score_Bkt</t>
  </si>
  <si>
    <t>Medium Scoring</t>
  </si>
  <si>
    <t>Low Scoring</t>
  </si>
  <si>
    <t>High Scoring</t>
  </si>
  <si>
    <t>Repeat_flag</t>
  </si>
  <si>
    <t>ticket_id</t>
  </si>
  <si>
    <t>Date</t>
  </si>
  <si>
    <t>No</t>
  </si>
  <si>
    <t>Yes</t>
  </si>
  <si>
    <t>Resolution_Status</t>
  </si>
  <si>
    <t>Repeat_Reasoning_Agent</t>
  </si>
  <si>
    <t>Repeat_Reasoning_Operational</t>
  </si>
  <si>
    <t>Agent lacked knowledge</t>
  </si>
  <si>
    <t>Agent lacked right probing</t>
  </si>
  <si>
    <t>Line disconnected during conversation</t>
  </si>
  <si>
    <t>Agent couldn't provide correct guidance</t>
  </si>
  <si>
    <t>Customer disconnected due to long hold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</si>
</sst>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0" fillId="2" borderId="0" xfId="0" applyFill="1"/>
    <xf numFmtId="2" fontId="0" fillId="0" borderId="0" xfId="0" applyNumberFormat="1"/>
    <xf numFmtId="1" fontId="0" fillId="0" borderId="0" xfId="0" applyNumberFormat="1" applyAlignment="1">
      <alignment horizontal="right"/>
    </xf>
    <xf numFmtId="0" fontId="0" fillId="3" borderId="0" xfId="0" applyFill="1"/>
    <xf numFmtId="0" fontId="0" fillId="4" borderId="0" xfId="0" applyFill="1"/>
    <xf numFmtId="0" fontId="0" fillId="5" borderId="0" xfId="0" applyFill="1"/>
    <xf numFmtId="0" fontId="1" fillId="0" borderId="1" xfId="0" applyFont="1" applyBorder="1" applyAlignment="1">
      <alignment horizontal="center" vertical="top" wrapText="1"/>
    </xf>
    <xf numFmtId="0" fontId="0" fillId="0" borderId="0" xfId="0" applyAlignment="1">
      <alignment wrapText="1"/>
    </xf>
    <xf numFmtId="0" fontId="0" fillId="0" borderId="0" xfId="0" quotePrefix="1"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D30"/>
  <sheetViews>
    <sheetView tabSelected="1" topLeftCell="C1" zoomScale="80" zoomScaleNormal="80" workbookViewId="0">
      <selection activeCell="C1" sqref="C1"/>
    </sheetView>
  </sheetViews>
  <sheetFormatPr defaultRowHeight="14.5" x14ac:dyDescent="0.35"/>
  <cols>
    <col min="1" max="2" width="25.81640625" hidden="1" customWidth="1"/>
    <col min="3" max="3" width="18.90625" customWidth="1"/>
    <col min="4" max="4" width="35.453125" hidden="1" customWidth="1"/>
    <col min="5" max="12" width="21.90625" hidden="1" customWidth="1"/>
    <col min="13" max="14" width="0" hidden="1" customWidth="1"/>
    <col min="15" max="16" width="74.6328125" hidden="1" customWidth="1"/>
    <col min="17" max="17" width="20.08984375" hidden="1" customWidth="1"/>
    <col min="18" max="18" width="31.36328125" hidden="1" customWidth="1"/>
    <col min="19" max="19" width="20.54296875" hidden="1" customWidth="1"/>
    <col min="20" max="20" width="22.26953125" hidden="1" customWidth="1"/>
    <col min="21" max="21" width="14.453125" hidden="1" customWidth="1"/>
    <col min="22" max="22" width="35.453125" hidden="1" customWidth="1"/>
    <col min="23" max="23" width="13.453125" hidden="1" customWidth="1"/>
    <col min="24" max="24" width="37.6328125" hidden="1" customWidth="1"/>
    <col min="25" max="25" width="20.54296875" hidden="1" customWidth="1"/>
    <col min="26" max="26" width="107.36328125" style="9" hidden="1" customWidth="1"/>
    <col min="27" max="27" width="45" hidden="1" customWidth="1"/>
    <col min="28" max="28" width="15.6328125" hidden="1" customWidth="1"/>
    <col min="29" max="29" width="54.26953125" hidden="1" customWidth="1"/>
    <col min="30" max="31" width="26.08984375" hidden="1" customWidth="1"/>
    <col min="32" max="32" width="17.90625" customWidth="1"/>
    <col min="33" max="33" width="11.90625" customWidth="1"/>
    <col min="34" max="34" width="22" customWidth="1"/>
    <col min="35" max="35" width="20.36328125" customWidth="1"/>
    <col min="36" max="36" width="26.453125" customWidth="1"/>
    <col min="37" max="37" width="30.453125" bestFit="1" customWidth="1"/>
    <col min="38" max="38" width="65.81640625" customWidth="1"/>
    <col min="39" max="39" width="11.26953125" customWidth="1"/>
    <col min="40" max="40" width="14.54296875" bestFit="1" customWidth="1"/>
    <col min="41" max="41" width="22.36328125" customWidth="1"/>
    <col min="42" max="42" width="82.81640625" customWidth="1"/>
    <col min="79" max="79" width="11.26953125" bestFit="1" customWidth="1"/>
    <col min="80" max="80" width="16.54296875" bestFit="1" customWidth="1"/>
    <col min="81" max="81" width="29.08984375" bestFit="1" customWidth="1"/>
    <col min="82" max="82" width="28.54296875" bestFit="1" customWidth="1"/>
  </cols>
  <sheetData>
    <row r="1" spans="1:82" x14ac:dyDescent="0.35">
      <c r="A1" s="1" t="s">
        <v>0</v>
      </c>
      <c r="B1" s="1" t="s">
        <v>461</v>
      </c>
      <c r="C1" s="1" t="s">
        <v>460</v>
      </c>
      <c r="D1" s="1" t="s">
        <v>1</v>
      </c>
      <c r="E1" s="1" t="s">
        <v>2</v>
      </c>
      <c r="F1" s="1" t="s">
        <v>3</v>
      </c>
      <c r="G1" s="1" t="s">
        <v>4</v>
      </c>
      <c r="H1" s="1" t="s">
        <v>5</v>
      </c>
      <c r="I1" s="1" t="s">
        <v>6</v>
      </c>
      <c r="J1" s="1" t="s">
        <v>7</v>
      </c>
      <c r="K1" s="1" t="s">
        <v>8</v>
      </c>
      <c r="L1" s="1" t="s">
        <v>9</v>
      </c>
      <c r="M1" s="1" t="s">
        <v>10</v>
      </c>
      <c r="N1" s="1" t="s">
        <v>11</v>
      </c>
      <c r="O1" s="1" t="s">
        <v>12</v>
      </c>
      <c r="P1" s="1" t="s">
        <v>344</v>
      </c>
      <c r="Q1" s="1" t="s">
        <v>345</v>
      </c>
      <c r="R1" s="1" t="s">
        <v>346</v>
      </c>
      <c r="S1" s="1" t="s">
        <v>347</v>
      </c>
      <c r="T1" s="1" t="s">
        <v>348</v>
      </c>
      <c r="U1" s="1" t="s">
        <v>349</v>
      </c>
      <c r="V1" s="1" t="s">
        <v>13</v>
      </c>
      <c r="W1" s="1" t="s">
        <v>257</v>
      </c>
      <c r="X1" s="1" t="s">
        <v>258</v>
      </c>
      <c r="Y1" s="1" t="s">
        <v>259</v>
      </c>
      <c r="Z1" s="8" t="s">
        <v>248</v>
      </c>
      <c r="AA1" s="1" t="s">
        <v>260</v>
      </c>
      <c r="AB1" s="1" t="s">
        <v>261</v>
      </c>
      <c r="AC1" s="1" t="s">
        <v>255</v>
      </c>
      <c r="AD1" s="1" t="s">
        <v>399</v>
      </c>
      <c r="AE1" s="1" t="s">
        <v>400</v>
      </c>
      <c r="AF1" s="1" t="s">
        <v>247</v>
      </c>
      <c r="AG1" s="1" t="s">
        <v>246</v>
      </c>
      <c r="AH1" s="1" t="s">
        <v>253</v>
      </c>
      <c r="AI1" s="1" t="s">
        <v>254</v>
      </c>
      <c r="AJ1" s="1" t="s">
        <v>397</v>
      </c>
      <c r="AK1" s="1" t="s">
        <v>455</v>
      </c>
      <c r="AL1" s="1" t="s">
        <v>256</v>
      </c>
      <c r="AM1" s="1" t="s">
        <v>416</v>
      </c>
      <c r="AN1" s="1" t="s">
        <v>418</v>
      </c>
      <c r="AO1" s="1" t="s">
        <v>422</v>
      </c>
      <c r="AP1" s="1" t="s">
        <v>12</v>
      </c>
      <c r="AQ1" s="1" t="s">
        <v>423</v>
      </c>
      <c r="AR1" s="1" t="s">
        <v>424</v>
      </c>
      <c r="AS1" s="1" t="s">
        <v>425</v>
      </c>
      <c r="AT1" s="1" t="s">
        <v>426</v>
      </c>
      <c r="AU1" s="1" t="s">
        <v>427</v>
      </c>
      <c r="AV1" s="1" t="s">
        <v>249</v>
      </c>
      <c r="AW1" s="1" t="s">
        <v>428</v>
      </c>
      <c r="AX1" s="1" t="s">
        <v>429</v>
      </c>
      <c r="AY1" s="1" t="s">
        <v>250</v>
      </c>
      <c r="AZ1" s="1" t="s">
        <v>430</v>
      </c>
      <c r="BA1" s="1" t="s">
        <v>431</v>
      </c>
      <c r="BB1" s="1" t="s">
        <v>432</v>
      </c>
      <c r="BC1" s="1" t="s">
        <v>251</v>
      </c>
      <c r="BD1" s="1" t="s">
        <v>433</v>
      </c>
      <c r="BE1" s="1" t="s">
        <v>434</v>
      </c>
      <c r="BF1" s="1" t="s">
        <v>435</v>
      </c>
      <c r="BG1" s="1" t="s">
        <v>252</v>
      </c>
      <c r="BH1" s="1" t="s">
        <v>436</v>
      </c>
      <c r="BI1" s="1" t="s">
        <v>437</v>
      </c>
      <c r="BJ1" s="1" t="s">
        <v>438</v>
      </c>
      <c r="BK1" s="1" t="s">
        <v>439</v>
      </c>
      <c r="BL1" s="1" t="s">
        <v>440</v>
      </c>
      <c r="BM1" s="1" t="s">
        <v>441</v>
      </c>
      <c r="BN1" s="1" t="s">
        <v>442</v>
      </c>
      <c r="BO1" s="1" t="s">
        <v>443</v>
      </c>
      <c r="BP1" s="1" t="s">
        <v>444</v>
      </c>
      <c r="BQ1" s="1" t="s">
        <v>445</v>
      </c>
      <c r="BR1" s="1" t="s">
        <v>446</v>
      </c>
      <c r="BS1" s="1" t="s">
        <v>447</v>
      </c>
      <c r="BT1" s="1" t="s">
        <v>448</v>
      </c>
      <c r="BU1" s="1" t="s">
        <v>449</v>
      </c>
      <c r="BV1" s="1" t="s">
        <v>450</v>
      </c>
      <c r="BW1" s="1" t="s">
        <v>451</v>
      </c>
      <c r="BX1" s="1" t="s">
        <v>452</v>
      </c>
      <c r="BY1" s="1" t="s">
        <v>453</v>
      </c>
      <c r="BZ1" s="1" t="s">
        <v>454</v>
      </c>
      <c r="CA1" s="1" t="s">
        <v>459</v>
      </c>
      <c r="CB1" s="1" t="s">
        <v>464</v>
      </c>
      <c r="CC1" s="1" t="s">
        <v>465</v>
      </c>
      <c r="CD1" s="1" t="s">
        <v>466</v>
      </c>
    </row>
    <row r="2" spans="1:82" x14ac:dyDescent="0.35">
      <c r="A2" t="s">
        <v>14</v>
      </c>
      <c r="B2" s="11">
        <v>46024</v>
      </c>
      <c r="C2">
        <v>1</v>
      </c>
      <c r="D2" t="s">
        <v>15</v>
      </c>
      <c r="E2" t="s">
        <v>16</v>
      </c>
      <c r="F2" t="s">
        <v>17</v>
      </c>
      <c r="M2">
        <v>6.16</v>
      </c>
      <c r="N2">
        <v>532.16</v>
      </c>
      <c r="O2" t="s">
        <v>18</v>
      </c>
      <c r="P2" t="s">
        <v>264</v>
      </c>
      <c r="Q2" t="s">
        <v>265</v>
      </c>
      <c r="R2" t="s">
        <v>266</v>
      </c>
      <c r="S2" t="s">
        <v>267</v>
      </c>
      <c r="T2" t="s">
        <v>268</v>
      </c>
      <c r="U2">
        <v>8.7666666666666675</v>
      </c>
      <c r="V2" t="s">
        <v>15</v>
      </c>
      <c r="W2" t="s">
        <v>192</v>
      </c>
      <c r="X2" t="s">
        <v>193</v>
      </c>
      <c r="Y2" t="s">
        <v>396</v>
      </c>
      <c r="Z2" s="9" t="s">
        <v>395</v>
      </c>
      <c r="AB2" s="4">
        <v>8</v>
      </c>
      <c r="AC2" t="s">
        <v>378</v>
      </c>
      <c r="AD2" t="str">
        <f t="shared" ref="AD2:AD29" si="0">IF(AB2&lt;=3,"1-3",IF(AB2&lt;=7,"4-7",IF(AB2&lt;=10,"8-10")))</f>
        <v>8-10</v>
      </c>
      <c r="AE2" t="str">
        <f t="shared" ref="AE2:AE29" si="1">IF(AB2&lt;=5,"1-5",IF(AB2&lt;=7,"6-7",IF(AB2&lt;=10,"8-10")))</f>
        <v>8-10</v>
      </c>
      <c r="AF2" s="5" t="s">
        <v>263</v>
      </c>
      <c r="AG2" s="5">
        <v>1001</v>
      </c>
      <c r="AH2" s="3">
        <v>0.7</v>
      </c>
      <c r="AI2" s="3">
        <v>0.35</v>
      </c>
      <c r="AJ2" s="3">
        <v>0.63055555555555554</v>
      </c>
      <c r="AK2" s="3" t="s">
        <v>456</v>
      </c>
      <c r="AL2" t="s">
        <v>350</v>
      </c>
      <c r="AM2" t="s">
        <v>417</v>
      </c>
      <c r="AN2" t="s">
        <v>419</v>
      </c>
      <c r="AP2" t="s">
        <v>76</v>
      </c>
      <c r="AQ2">
        <v>0</v>
      </c>
      <c r="AR2">
        <v>1</v>
      </c>
      <c r="AS2">
        <v>1</v>
      </c>
      <c r="AT2">
        <v>1</v>
      </c>
      <c r="AU2">
        <v>0</v>
      </c>
      <c r="AV2">
        <v>0.6</v>
      </c>
      <c r="AW2">
        <v>1</v>
      </c>
      <c r="AX2">
        <v>0</v>
      </c>
      <c r="AY2">
        <v>0.5</v>
      </c>
      <c r="AZ2">
        <v>1</v>
      </c>
      <c r="BA2">
        <v>0</v>
      </c>
      <c r="BB2">
        <v>1</v>
      </c>
      <c r="BC2">
        <v>0.66666666666666663</v>
      </c>
      <c r="BD2">
        <v>1</v>
      </c>
      <c r="BE2">
        <v>0</v>
      </c>
      <c r="BF2">
        <v>1</v>
      </c>
      <c r="BG2">
        <v>0.66666666666666663</v>
      </c>
      <c r="BH2">
        <v>1</v>
      </c>
      <c r="BI2">
        <v>1</v>
      </c>
      <c r="BJ2">
        <v>0</v>
      </c>
      <c r="BK2">
        <v>1</v>
      </c>
      <c r="BL2">
        <v>1</v>
      </c>
      <c r="BM2">
        <v>1</v>
      </c>
      <c r="BN2">
        <v>1</v>
      </c>
      <c r="BO2">
        <v>1</v>
      </c>
      <c r="BP2">
        <v>0</v>
      </c>
      <c r="BQ2">
        <v>0</v>
      </c>
      <c r="BR2">
        <v>0</v>
      </c>
      <c r="BS2">
        <v>0</v>
      </c>
      <c r="BT2">
        <v>1</v>
      </c>
      <c r="BU2">
        <v>0</v>
      </c>
      <c r="BV2">
        <v>0</v>
      </c>
      <c r="BW2">
        <v>0</v>
      </c>
      <c r="BX2">
        <v>0</v>
      </c>
      <c r="BY2">
        <v>0</v>
      </c>
      <c r="BZ2">
        <v>0</v>
      </c>
      <c r="CA2">
        <v>1</v>
      </c>
      <c r="CB2" t="s">
        <v>462</v>
      </c>
      <c r="CC2" t="s">
        <v>467</v>
      </c>
    </row>
    <row r="3" spans="1:82" hidden="1" x14ac:dyDescent="0.35">
      <c r="A3" t="s">
        <v>19</v>
      </c>
      <c r="B3" s="11">
        <v>46027</v>
      </c>
      <c r="C3">
        <v>7</v>
      </c>
      <c r="D3" t="s">
        <v>20</v>
      </c>
      <c r="E3" t="s">
        <v>21</v>
      </c>
      <c r="F3" t="s">
        <v>22</v>
      </c>
      <c r="M3">
        <v>1.6</v>
      </c>
      <c r="N3">
        <v>539.12</v>
      </c>
      <c r="O3" t="s">
        <v>23</v>
      </c>
      <c r="P3" t="s">
        <v>269</v>
      </c>
      <c r="Q3" t="s">
        <v>270</v>
      </c>
      <c r="R3" t="s">
        <v>271</v>
      </c>
      <c r="S3" t="s">
        <v>272</v>
      </c>
      <c r="T3" t="s">
        <v>273</v>
      </c>
      <c r="U3">
        <v>8.9586666666666659</v>
      </c>
      <c r="V3" t="s">
        <v>20</v>
      </c>
      <c r="W3" t="s">
        <v>194</v>
      </c>
      <c r="X3" t="s">
        <v>195</v>
      </c>
      <c r="Y3" t="s">
        <v>396</v>
      </c>
      <c r="Z3" s="9" t="s">
        <v>395</v>
      </c>
      <c r="AB3" s="4">
        <v>8</v>
      </c>
      <c r="AC3" t="s">
        <v>379</v>
      </c>
      <c r="AD3" t="str">
        <f t="shared" si="0"/>
        <v>8-10</v>
      </c>
      <c r="AE3" t="str">
        <f t="shared" si="1"/>
        <v>8-10</v>
      </c>
      <c r="AF3" s="5" t="s">
        <v>263</v>
      </c>
      <c r="AG3" s="5">
        <v>1001</v>
      </c>
      <c r="AH3" s="3">
        <v>0.89</v>
      </c>
      <c r="AI3" s="3">
        <v>0.24</v>
      </c>
      <c r="AJ3" s="3">
        <v>0.56944444444444442</v>
      </c>
      <c r="AK3" s="3" t="s">
        <v>456</v>
      </c>
      <c r="AL3" t="s">
        <v>351</v>
      </c>
      <c r="AM3" t="s">
        <v>417</v>
      </c>
      <c r="AN3" t="s">
        <v>419</v>
      </c>
      <c r="AP3" t="s">
        <v>83</v>
      </c>
      <c r="AQ3">
        <v>1</v>
      </c>
      <c r="AR3">
        <v>1</v>
      </c>
      <c r="AS3">
        <v>0</v>
      </c>
      <c r="AT3">
        <v>1</v>
      </c>
      <c r="AU3">
        <v>0</v>
      </c>
      <c r="AV3">
        <v>0.6</v>
      </c>
      <c r="AW3">
        <v>1</v>
      </c>
      <c r="AX3">
        <v>0</v>
      </c>
      <c r="AY3">
        <v>0.5</v>
      </c>
      <c r="AZ3">
        <v>0</v>
      </c>
      <c r="BA3">
        <v>0</v>
      </c>
      <c r="BB3">
        <v>0</v>
      </c>
      <c r="BC3">
        <v>0</v>
      </c>
      <c r="BD3">
        <v>1</v>
      </c>
      <c r="BE3">
        <v>0</v>
      </c>
      <c r="BF3">
        <v>1</v>
      </c>
      <c r="BG3">
        <v>0.66666666666666663</v>
      </c>
      <c r="BH3">
        <v>1</v>
      </c>
      <c r="BI3">
        <v>1</v>
      </c>
      <c r="BJ3">
        <v>0</v>
      </c>
      <c r="BK3">
        <v>1</v>
      </c>
      <c r="BL3">
        <v>0</v>
      </c>
      <c r="BM3">
        <v>1</v>
      </c>
      <c r="BN3">
        <v>1</v>
      </c>
      <c r="BO3">
        <v>1</v>
      </c>
      <c r="BP3">
        <v>0</v>
      </c>
      <c r="BQ3">
        <v>0</v>
      </c>
      <c r="BR3">
        <v>0</v>
      </c>
      <c r="BS3">
        <v>1</v>
      </c>
      <c r="BT3">
        <v>1</v>
      </c>
      <c r="BU3">
        <v>0</v>
      </c>
      <c r="BV3">
        <v>0</v>
      </c>
      <c r="BW3">
        <v>0</v>
      </c>
      <c r="BX3">
        <v>0</v>
      </c>
      <c r="BY3">
        <v>0</v>
      </c>
      <c r="BZ3">
        <v>0</v>
      </c>
      <c r="CA3">
        <v>0</v>
      </c>
      <c r="CB3" t="s">
        <v>463</v>
      </c>
    </row>
    <row r="4" spans="1:82" x14ac:dyDescent="0.35">
      <c r="A4" t="s">
        <v>24</v>
      </c>
      <c r="B4" s="11">
        <v>46027</v>
      </c>
      <c r="C4">
        <v>1</v>
      </c>
      <c r="D4" t="s">
        <v>25</v>
      </c>
      <c r="E4" t="s">
        <v>26</v>
      </c>
      <c r="F4" t="s">
        <v>27</v>
      </c>
      <c r="G4" t="s">
        <v>28</v>
      </c>
      <c r="H4" t="s">
        <v>29</v>
      </c>
      <c r="M4">
        <v>5.2</v>
      </c>
      <c r="N4">
        <v>371.36</v>
      </c>
      <c r="O4" t="s">
        <v>30</v>
      </c>
      <c r="P4" t="s">
        <v>274</v>
      </c>
      <c r="Q4" t="s">
        <v>265</v>
      </c>
      <c r="R4" t="s">
        <v>275</v>
      </c>
      <c r="S4" t="s">
        <v>267</v>
      </c>
      <c r="T4" t="s">
        <v>268</v>
      </c>
      <c r="U4">
        <v>6.1026666666666669</v>
      </c>
      <c r="V4" t="s">
        <v>25</v>
      </c>
      <c r="W4" t="s">
        <v>192</v>
      </c>
      <c r="X4" t="s">
        <v>196</v>
      </c>
      <c r="Y4" t="s">
        <v>405</v>
      </c>
      <c r="Z4" s="9" t="s">
        <v>411</v>
      </c>
      <c r="AA4" t="s">
        <v>225</v>
      </c>
      <c r="AB4" s="4">
        <v>8</v>
      </c>
      <c r="AC4" t="s">
        <v>380</v>
      </c>
      <c r="AD4" t="str">
        <f t="shared" si="0"/>
        <v>8-10</v>
      </c>
      <c r="AE4" t="str">
        <f t="shared" si="1"/>
        <v>8-10</v>
      </c>
      <c r="AF4" s="5" t="s">
        <v>263</v>
      </c>
      <c r="AG4" s="5">
        <v>1001</v>
      </c>
      <c r="AH4" s="3">
        <v>0.56999999999999995</v>
      </c>
      <c r="AI4" s="3">
        <v>0.46</v>
      </c>
      <c r="AJ4" s="3">
        <v>0.53499999999999992</v>
      </c>
      <c r="AK4" s="3" t="s">
        <v>456</v>
      </c>
      <c r="AL4" t="s">
        <v>352</v>
      </c>
      <c r="AM4" t="s">
        <v>417</v>
      </c>
      <c r="AN4" t="s">
        <v>419</v>
      </c>
      <c r="AP4" t="s">
        <v>91</v>
      </c>
      <c r="AQ4">
        <v>0</v>
      </c>
      <c r="AR4">
        <v>1</v>
      </c>
      <c r="AS4">
        <v>1</v>
      </c>
      <c r="AT4">
        <v>1</v>
      </c>
      <c r="AU4">
        <v>0</v>
      </c>
      <c r="AV4">
        <v>0.6</v>
      </c>
      <c r="AW4">
        <v>1</v>
      </c>
      <c r="AX4">
        <v>0</v>
      </c>
      <c r="AY4">
        <v>0.5</v>
      </c>
      <c r="AZ4">
        <v>0</v>
      </c>
      <c r="BA4">
        <v>0</v>
      </c>
      <c r="BB4">
        <v>1</v>
      </c>
      <c r="BC4">
        <v>0.33333333333333331</v>
      </c>
      <c r="BD4">
        <v>1</v>
      </c>
      <c r="BE4">
        <v>0</v>
      </c>
      <c r="BF4">
        <v>1</v>
      </c>
      <c r="BG4">
        <v>0.66666666666666663</v>
      </c>
      <c r="BH4">
        <v>1</v>
      </c>
      <c r="BI4">
        <v>1</v>
      </c>
      <c r="BJ4">
        <v>0</v>
      </c>
      <c r="BK4">
        <v>0</v>
      </c>
      <c r="BL4">
        <v>1</v>
      </c>
      <c r="BM4">
        <v>1</v>
      </c>
      <c r="BN4">
        <v>0</v>
      </c>
      <c r="BO4">
        <v>0</v>
      </c>
      <c r="BP4">
        <v>0</v>
      </c>
      <c r="BQ4">
        <v>0</v>
      </c>
      <c r="BR4">
        <v>0</v>
      </c>
      <c r="BS4">
        <v>0</v>
      </c>
      <c r="BT4">
        <v>1</v>
      </c>
      <c r="BU4">
        <v>0</v>
      </c>
      <c r="BV4">
        <v>0</v>
      </c>
      <c r="BW4">
        <v>0</v>
      </c>
      <c r="BX4">
        <v>0</v>
      </c>
      <c r="BY4">
        <v>0</v>
      </c>
      <c r="BZ4">
        <v>0</v>
      </c>
      <c r="CA4">
        <v>1</v>
      </c>
      <c r="CB4" t="s">
        <v>463</v>
      </c>
    </row>
    <row r="5" spans="1:82" hidden="1" x14ac:dyDescent="0.35">
      <c r="A5" t="s">
        <v>31</v>
      </c>
      <c r="B5" s="11">
        <v>46029</v>
      </c>
      <c r="C5">
        <v>8</v>
      </c>
      <c r="D5" t="s">
        <v>32</v>
      </c>
      <c r="E5" t="s">
        <v>33</v>
      </c>
      <c r="F5" t="s">
        <v>34</v>
      </c>
      <c r="M5">
        <v>2.48</v>
      </c>
      <c r="N5">
        <v>412.88</v>
      </c>
      <c r="O5" t="s">
        <v>35</v>
      </c>
      <c r="P5" t="s">
        <v>276</v>
      </c>
      <c r="Q5" t="s">
        <v>277</v>
      </c>
      <c r="R5" t="s">
        <v>278</v>
      </c>
      <c r="S5" t="s">
        <v>279</v>
      </c>
      <c r="T5" t="s">
        <v>280</v>
      </c>
      <c r="U5">
        <v>6.84</v>
      </c>
      <c r="V5" t="s">
        <v>32</v>
      </c>
      <c r="W5" t="s">
        <v>194</v>
      </c>
      <c r="X5" t="s">
        <v>197</v>
      </c>
      <c r="Y5" t="s">
        <v>396</v>
      </c>
      <c r="Z5" s="9" t="s">
        <v>395</v>
      </c>
      <c r="AB5" s="4">
        <v>8</v>
      </c>
      <c r="AC5" t="s">
        <v>381</v>
      </c>
      <c r="AD5" t="str">
        <f t="shared" si="0"/>
        <v>8-10</v>
      </c>
      <c r="AE5" t="str">
        <f t="shared" si="1"/>
        <v>8-10</v>
      </c>
      <c r="AF5" s="5" t="s">
        <v>263</v>
      </c>
      <c r="AG5" s="5">
        <v>1001</v>
      </c>
      <c r="AH5" s="3">
        <v>0.79</v>
      </c>
      <c r="AI5" s="3">
        <v>0.37</v>
      </c>
      <c r="AJ5" s="3">
        <v>0.55333333333333334</v>
      </c>
      <c r="AK5" s="3" t="s">
        <v>456</v>
      </c>
      <c r="AL5" t="s">
        <v>353</v>
      </c>
      <c r="AM5" t="s">
        <v>417</v>
      </c>
      <c r="AN5" t="s">
        <v>419</v>
      </c>
      <c r="AP5" t="s">
        <v>121</v>
      </c>
      <c r="AQ5" s="2">
        <v>0</v>
      </c>
      <c r="AR5" s="2">
        <v>1</v>
      </c>
      <c r="AS5" s="2">
        <v>0</v>
      </c>
      <c r="AT5" s="2">
        <v>1</v>
      </c>
      <c r="AU5" s="2">
        <v>0</v>
      </c>
      <c r="AV5" s="2">
        <v>0.4</v>
      </c>
      <c r="AW5" s="2">
        <v>1</v>
      </c>
      <c r="AX5" s="2">
        <v>0</v>
      </c>
      <c r="AY5" s="2">
        <v>0.5</v>
      </c>
      <c r="AZ5" s="2">
        <v>0</v>
      </c>
      <c r="BA5" s="2">
        <v>1</v>
      </c>
      <c r="BB5" s="2">
        <v>0</v>
      </c>
      <c r="BC5" s="2">
        <v>0.33333333333333331</v>
      </c>
      <c r="BD5" s="2">
        <v>1</v>
      </c>
      <c r="BE5" s="2">
        <v>0</v>
      </c>
      <c r="BF5" s="2">
        <v>1</v>
      </c>
      <c r="BG5" s="2">
        <v>0.66666666666666663</v>
      </c>
      <c r="BH5" s="2">
        <v>1</v>
      </c>
      <c r="BI5" s="2">
        <v>1</v>
      </c>
      <c r="BJ5" s="2">
        <v>0</v>
      </c>
      <c r="BK5" s="2">
        <v>1</v>
      </c>
      <c r="BL5" s="2">
        <v>0</v>
      </c>
      <c r="BM5" s="2">
        <v>0</v>
      </c>
      <c r="BN5" s="2">
        <v>1</v>
      </c>
      <c r="BO5" s="2">
        <v>1</v>
      </c>
      <c r="BP5" s="2">
        <v>0</v>
      </c>
      <c r="BQ5" s="2">
        <v>0</v>
      </c>
      <c r="BR5" s="2">
        <v>0</v>
      </c>
      <c r="BS5" s="2">
        <v>0</v>
      </c>
      <c r="BT5" s="2">
        <v>1</v>
      </c>
      <c r="BU5" s="2">
        <v>0</v>
      </c>
      <c r="BV5" s="2">
        <v>0</v>
      </c>
      <c r="BW5" s="2">
        <v>0</v>
      </c>
      <c r="BX5" s="2">
        <v>0</v>
      </c>
      <c r="BY5" s="2">
        <v>0</v>
      </c>
      <c r="BZ5" s="2">
        <v>0</v>
      </c>
      <c r="CA5">
        <v>0</v>
      </c>
      <c r="CB5" t="s">
        <v>463</v>
      </c>
    </row>
    <row r="6" spans="1:82" hidden="1" x14ac:dyDescent="0.35">
      <c r="A6" t="s">
        <v>36</v>
      </c>
      <c r="B6" s="11">
        <v>46029</v>
      </c>
      <c r="C6">
        <v>9</v>
      </c>
      <c r="D6" t="s">
        <v>37</v>
      </c>
      <c r="E6" t="s">
        <v>38</v>
      </c>
      <c r="F6" t="s">
        <v>39</v>
      </c>
      <c r="G6" t="s">
        <v>40</v>
      </c>
      <c r="H6" t="s">
        <v>41</v>
      </c>
      <c r="M6">
        <v>5.28</v>
      </c>
      <c r="N6">
        <v>324.88</v>
      </c>
      <c r="O6" t="s">
        <v>42</v>
      </c>
      <c r="P6" t="s">
        <v>281</v>
      </c>
      <c r="Q6" t="s">
        <v>282</v>
      </c>
      <c r="R6" t="s">
        <v>283</v>
      </c>
      <c r="S6" t="s">
        <v>284</v>
      </c>
      <c r="T6" t="s">
        <v>285</v>
      </c>
      <c r="U6">
        <v>5.3266666666666671</v>
      </c>
      <c r="V6" t="s">
        <v>37</v>
      </c>
      <c r="W6" t="s">
        <v>194</v>
      </c>
      <c r="X6" t="s">
        <v>198</v>
      </c>
      <c r="Y6" t="s">
        <v>396</v>
      </c>
      <c r="Z6" s="9" t="s">
        <v>395</v>
      </c>
      <c r="AB6" s="4">
        <v>4</v>
      </c>
      <c r="AC6" t="s">
        <v>382</v>
      </c>
      <c r="AD6" t="str">
        <f t="shared" si="0"/>
        <v>4-7</v>
      </c>
      <c r="AE6" t="str">
        <f t="shared" si="1"/>
        <v>1-5</v>
      </c>
      <c r="AF6" s="5" t="s">
        <v>263</v>
      </c>
      <c r="AG6" s="5">
        <v>1001</v>
      </c>
      <c r="AH6" s="3">
        <v>0.57999999999999996</v>
      </c>
      <c r="AI6" s="3">
        <v>0.13</v>
      </c>
      <c r="AJ6" s="3">
        <v>0.64722222222222225</v>
      </c>
      <c r="AK6" s="3" t="s">
        <v>456</v>
      </c>
      <c r="AL6" t="s">
        <v>354</v>
      </c>
      <c r="AM6" t="s">
        <v>417</v>
      </c>
      <c r="AN6" t="s">
        <v>420</v>
      </c>
      <c r="AP6" t="s">
        <v>108</v>
      </c>
      <c r="AQ6" s="2">
        <v>0</v>
      </c>
      <c r="AR6" s="2">
        <v>1</v>
      </c>
      <c r="AS6" s="2">
        <v>1</v>
      </c>
      <c r="AT6" s="2">
        <v>1</v>
      </c>
      <c r="AU6" s="2">
        <v>0</v>
      </c>
      <c r="AV6" s="2">
        <v>0.6</v>
      </c>
      <c r="AW6" s="2">
        <v>1</v>
      </c>
      <c r="AX6" s="2">
        <v>0</v>
      </c>
      <c r="AY6" s="2">
        <v>0.5</v>
      </c>
      <c r="AZ6" s="2">
        <v>0</v>
      </c>
      <c r="BA6" s="2">
        <v>0</v>
      </c>
      <c r="BB6" s="2">
        <v>1</v>
      </c>
      <c r="BC6" s="2">
        <v>0.33333333333333331</v>
      </c>
      <c r="BD6" s="2">
        <v>1</v>
      </c>
      <c r="BE6" s="2">
        <v>1</v>
      </c>
      <c r="BF6" s="2">
        <v>1</v>
      </c>
      <c r="BG6" s="2">
        <v>1</v>
      </c>
      <c r="BH6" s="2">
        <v>1</v>
      </c>
      <c r="BI6" s="2">
        <v>1</v>
      </c>
      <c r="BJ6" s="2">
        <v>0</v>
      </c>
      <c r="BK6" s="2">
        <v>1</v>
      </c>
      <c r="BL6" s="2">
        <v>0</v>
      </c>
      <c r="BM6" s="2">
        <v>1</v>
      </c>
      <c r="BN6" s="2">
        <v>0</v>
      </c>
      <c r="BO6" s="2">
        <v>0</v>
      </c>
      <c r="BP6" s="2">
        <v>0</v>
      </c>
      <c r="BQ6" s="2">
        <v>0</v>
      </c>
      <c r="BR6" s="2">
        <v>0</v>
      </c>
      <c r="BS6" s="2">
        <v>0</v>
      </c>
      <c r="BT6" s="2">
        <v>1</v>
      </c>
      <c r="BU6" s="2">
        <v>0</v>
      </c>
      <c r="BV6" s="2">
        <v>0</v>
      </c>
      <c r="BW6" s="2">
        <v>0</v>
      </c>
      <c r="BX6" s="2">
        <v>0</v>
      </c>
      <c r="BY6" s="2">
        <v>0</v>
      </c>
      <c r="BZ6" s="2">
        <v>0</v>
      </c>
      <c r="CA6">
        <v>0</v>
      </c>
      <c r="CB6" t="s">
        <v>463</v>
      </c>
    </row>
    <row r="7" spans="1:82" hidden="1" x14ac:dyDescent="0.35">
      <c r="A7" t="s">
        <v>43</v>
      </c>
      <c r="B7" s="11">
        <v>46031</v>
      </c>
      <c r="C7">
        <v>10</v>
      </c>
      <c r="D7" t="s">
        <v>44</v>
      </c>
      <c r="E7" t="s">
        <v>45</v>
      </c>
      <c r="F7" t="s">
        <v>46</v>
      </c>
      <c r="G7" t="s">
        <v>47</v>
      </c>
      <c r="H7" t="s">
        <v>48</v>
      </c>
      <c r="M7">
        <v>5.36</v>
      </c>
      <c r="N7">
        <v>706.08</v>
      </c>
      <c r="O7" t="s">
        <v>49</v>
      </c>
      <c r="P7" t="s">
        <v>286</v>
      </c>
      <c r="Q7" t="s">
        <v>270</v>
      </c>
      <c r="R7" t="s">
        <v>287</v>
      </c>
      <c r="S7" t="s">
        <v>272</v>
      </c>
      <c r="T7" t="s">
        <v>273</v>
      </c>
      <c r="U7">
        <v>11.67866666666667</v>
      </c>
      <c r="V7" t="s">
        <v>44</v>
      </c>
      <c r="W7" t="s">
        <v>192</v>
      </c>
      <c r="X7" t="s">
        <v>199</v>
      </c>
      <c r="Y7" t="s">
        <v>404</v>
      </c>
      <c r="Z7" s="10" t="s">
        <v>409</v>
      </c>
      <c r="AA7" t="s">
        <v>226</v>
      </c>
      <c r="AB7" s="4">
        <v>8</v>
      </c>
      <c r="AC7" t="s">
        <v>383</v>
      </c>
      <c r="AD7" t="str">
        <f t="shared" si="0"/>
        <v>8-10</v>
      </c>
      <c r="AE7" t="str">
        <f t="shared" si="1"/>
        <v>8-10</v>
      </c>
      <c r="AF7" s="5" t="s">
        <v>263</v>
      </c>
      <c r="AG7" s="5">
        <v>1001</v>
      </c>
      <c r="AH7" s="3">
        <v>0.86</v>
      </c>
      <c r="AI7" s="3">
        <v>0.38</v>
      </c>
      <c r="AJ7" s="3">
        <v>0.59666666666666657</v>
      </c>
      <c r="AK7" s="3" t="s">
        <v>456</v>
      </c>
      <c r="AL7" t="s">
        <v>355</v>
      </c>
      <c r="AM7" t="s">
        <v>417</v>
      </c>
      <c r="AN7" t="s">
        <v>419</v>
      </c>
      <c r="AP7" t="s">
        <v>91</v>
      </c>
      <c r="AQ7">
        <v>0</v>
      </c>
      <c r="AR7">
        <v>1</v>
      </c>
      <c r="AS7">
        <v>1</v>
      </c>
      <c r="AT7">
        <v>1</v>
      </c>
      <c r="AU7">
        <v>0</v>
      </c>
      <c r="AV7">
        <v>0.6</v>
      </c>
      <c r="AW7">
        <v>1</v>
      </c>
      <c r="AX7">
        <v>0</v>
      </c>
      <c r="AY7">
        <v>0.5</v>
      </c>
      <c r="AZ7">
        <v>0</v>
      </c>
      <c r="BA7">
        <v>0</v>
      </c>
      <c r="BB7">
        <v>1</v>
      </c>
      <c r="BC7">
        <v>0.33333333333333331</v>
      </c>
      <c r="BD7">
        <v>1</v>
      </c>
      <c r="BE7">
        <v>0</v>
      </c>
      <c r="BF7">
        <v>1</v>
      </c>
      <c r="BG7">
        <v>0.66666666666666663</v>
      </c>
      <c r="BH7">
        <v>1</v>
      </c>
      <c r="BI7">
        <v>1</v>
      </c>
      <c r="BJ7">
        <v>0</v>
      </c>
      <c r="BK7">
        <v>0</v>
      </c>
      <c r="BL7">
        <v>1</v>
      </c>
      <c r="BM7">
        <v>1</v>
      </c>
      <c r="BN7">
        <v>0</v>
      </c>
      <c r="BO7">
        <v>0</v>
      </c>
      <c r="BP7">
        <v>0</v>
      </c>
      <c r="BQ7">
        <v>0</v>
      </c>
      <c r="BR7">
        <v>0</v>
      </c>
      <c r="BS7">
        <v>0</v>
      </c>
      <c r="BT7">
        <v>1</v>
      </c>
      <c r="BU7">
        <v>0</v>
      </c>
      <c r="BV7">
        <v>0</v>
      </c>
      <c r="BW7">
        <v>0</v>
      </c>
      <c r="BX7">
        <v>0</v>
      </c>
      <c r="BY7">
        <v>0</v>
      </c>
      <c r="BZ7">
        <v>0</v>
      </c>
      <c r="CA7">
        <v>0</v>
      </c>
      <c r="CB7" t="s">
        <v>463</v>
      </c>
    </row>
    <row r="8" spans="1:82" hidden="1" x14ac:dyDescent="0.35">
      <c r="A8" t="s">
        <v>50</v>
      </c>
      <c r="B8" s="11">
        <v>46032</v>
      </c>
      <c r="C8">
        <v>11</v>
      </c>
      <c r="D8" t="s">
        <v>51</v>
      </c>
      <c r="E8" t="s">
        <v>52</v>
      </c>
      <c r="F8" t="s">
        <v>53</v>
      </c>
      <c r="G8" t="s">
        <v>54</v>
      </c>
      <c r="H8" t="s">
        <v>55</v>
      </c>
      <c r="M8">
        <v>0.56000000000000005</v>
      </c>
      <c r="N8">
        <v>579.52</v>
      </c>
      <c r="O8" t="s">
        <v>56</v>
      </c>
      <c r="P8" t="s">
        <v>288</v>
      </c>
      <c r="Q8" t="s">
        <v>289</v>
      </c>
      <c r="R8" t="s">
        <v>290</v>
      </c>
      <c r="S8" t="s">
        <v>291</v>
      </c>
      <c r="T8" t="s">
        <v>280</v>
      </c>
      <c r="U8">
        <v>9.6493333333333347</v>
      </c>
      <c r="V8" t="s">
        <v>51</v>
      </c>
      <c r="W8" t="s">
        <v>194</v>
      </c>
      <c r="X8" t="s">
        <v>200</v>
      </c>
      <c r="Y8" t="s">
        <v>396</v>
      </c>
      <c r="Z8" s="9" t="s">
        <v>395</v>
      </c>
      <c r="AB8" s="4">
        <v>8</v>
      </c>
      <c r="AC8" t="s">
        <v>384</v>
      </c>
      <c r="AD8" t="str">
        <f t="shared" si="0"/>
        <v>8-10</v>
      </c>
      <c r="AE8" t="str">
        <f t="shared" si="1"/>
        <v>8-10</v>
      </c>
      <c r="AF8" s="2" t="s">
        <v>262</v>
      </c>
      <c r="AG8" s="2">
        <v>1000</v>
      </c>
      <c r="AH8" s="3">
        <v>0.83</v>
      </c>
      <c r="AI8" s="3">
        <v>0.24</v>
      </c>
      <c r="AJ8" s="3">
        <v>0.61499999999999999</v>
      </c>
      <c r="AK8" s="3" t="s">
        <v>456</v>
      </c>
      <c r="AL8" t="s">
        <v>356</v>
      </c>
      <c r="AM8" t="s">
        <v>417</v>
      </c>
      <c r="AN8" t="s">
        <v>419</v>
      </c>
      <c r="AP8" t="s">
        <v>91</v>
      </c>
      <c r="AQ8">
        <v>0</v>
      </c>
      <c r="AR8">
        <v>1</v>
      </c>
      <c r="AS8">
        <v>1</v>
      </c>
      <c r="AT8">
        <v>1</v>
      </c>
      <c r="AU8">
        <v>0</v>
      </c>
      <c r="AV8">
        <v>0.6</v>
      </c>
      <c r="AW8">
        <v>1</v>
      </c>
      <c r="AX8">
        <v>0</v>
      </c>
      <c r="AY8">
        <v>0.5</v>
      </c>
      <c r="AZ8">
        <v>0</v>
      </c>
      <c r="BA8">
        <v>0</v>
      </c>
      <c r="BB8">
        <v>1</v>
      </c>
      <c r="BC8">
        <v>0.33333333333333331</v>
      </c>
      <c r="BD8">
        <v>1</v>
      </c>
      <c r="BE8">
        <v>0</v>
      </c>
      <c r="BF8">
        <v>1</v>
      </c>
      <c r="BG8">
        <v>0.66666666666666663</v>
      </c>
      <c r="BH8">
        <v>1</v>
      </c>
      <c r="BI8">
        <v>1</v>
      </c>
      <c r="BJ8">
        <v>0</v>
      </c>
      <c r="BK8">
        <v>0</v>
      </c>
      <c r="BL8">
        <v>1</v>
      </c>
      <c r="BM8">
        <v>1</v>
      </c>
      <c r="BN8">
        <v>0</v>
      </c>
      <c r="BO8">
        <v>0</v>
      </c>
      <c r="BP8">
        <v>0</v>
      </c>
      <c r="BQ8">
        <v>0</v>
      </c>
      <c r="BR8">
        <v>0</v>
      </c>
      <c r="BS8">
        <v>0</v>
      </c>
      <c r="BT8">
        <v>1</v>
      </c>
      <c r="BU8">
        <v>0</v>
      </c>
      <c r="BV8">
        <v>0</v>
      </c>
      <c r="BW8">
        <v>0</v>
      </c>
      <c r="BX8">
        <v>0</v>
      </c>
      <c r="BY8">
        <v>0</v>
      </c>
      <c r="BZ8">
        <v>0</v>
      </c>
      <c r="CA8">
        <v>0</v>
      </c>
      <c r="CB8" t="s">
        <v>462</v>
      </c>
    </row>
    <row r="9" spans="1:82" hidden="1" x14ac:dyDescent="0.35">
      <c r="A9" t="s">
        <v>57</v>
      </c>
      <c r="B9" s="11">
        <v>46034</v>
      </c>
      <c r="C9">
        <v>12</v>
      </c>
      <c r="D9" t="s">
        <v>58</v>
      </c>
      <c r="E9" t="s">
        <v>59</v>
      </c>
      <c r="F9" t="s">
        <v>60</v>
      </c>
      <c r="M9">
        <v>0.64</v>
      </c>
      <c r="N9">
        <v>610.55999999999995</v>
      </c>
      <c r="O9" t="s">
        <v>61</v>
      </c>
      <c r="P9" t="s">
        <v>292</v>
      </c>
      <c r="Q9" t="s">
        <v>46</v>
      </c>
      <c r="R9" t="s">
        <v>293</v>
      </c>
      <c r="S9" t="s">
        <v>294</v>
      </c>
      <c r="T9" t="s">
        <v>273</v>
      </c>
      <c r="U9">
        <v>10.165333333333329</v>
      </c>
      <c r="V9" t="s">
        <v>58</v>
      </c>
      <c r="W9" t="s">
        <v>194</v>
      </c>
      <c r="X9" t="s">
        <v>201</v>
      </c>
      <c r="Y9" t="s">
        <v>396</v>
      </c>
      <c r="Z9" s="9" t="s">
        <v>395</v>
      </c>
      <c r="AB9" s="4">
        <v>8</v>
      </c>
      <c r="AC9" t="s">
        <v>385</v>
      </c>
      <c r="AD9" t="str">
        <f t="shared" si="0"/>
        <v>8-10</v>
      </c>
      <c r="AE9" t="str">
        <f t="shared" si="1"/>
        <v>8-10</v>
      </c>
      <c r="AF9" s="2" t="s">
        <v>262</v>
      </c>
      <c r="AG9" s="2">
        <v>1000</v>
      </c>
      <c r="AH9" s="3">
        <v>0.56999999999999995</v>
      </c>
      <c r="AI9" s="3">
        <v>0.5</v>
      </c>
      <c r="AJ9" s="3">
        <v>0.49499999999999994</v>
      </c>
      <c r="AK9" s="3" t="s">
        <v>457</v>
      </c>
      <c r="AL9" t="s">
        <v>357</v>
      </c>
      <c r="AM9" t="s">
        <v>417</v>
      </c>
      <c r="AN9" t="s">
        <v>419</v>
      </c>
      <c r="AP9" t="s">
        <v>121</v>
      </c>
      <c r="AQ9" s="2">
        <v>0</v>
      </c>
      <c r="AR9" s="2">
        <v>1</v>
      </c>
      <c r="AS9" s="2">
        <v>0</v>
      </c>
      <c r="AT9" s="2">
        <v>1</v>
      </c>
      <c r="AU9" s="2">
        <v>0</v>
      </c>
      <c r="AV9" s="2">
        <v>0.4</v>
      </c>
      <c r="AW9" s="2">
        <v>1</v>
      </c>
      <c r="AX9" s="2">
        <v>0</v>
      </c>
      <c r="AY9" s="2">
        <v>0.5</v>
      </c>
      <c r="AZ9" s="2">
        <v>0</v>
      </c>
      <c r="BA9" s="2">
        <v>1</v>
      </c>
      <c r="BB9" s="2">
        <v>0</v>
      </c>
      <c r="BC9" s="2">
        <v>0.33333333333333331</v>
      </c>
      <c r="BD9" s="2">
        <v>1</v>
      </c>
      <c r="BE9" s="2">
        <v>0</v>
      </c>
      <c r="BF9" s="2">
        <v>1</v>
      </c>
      <c r="BG9" s="2">
        <v>0.66666666666666663</v>
      </c>
      <c r="BH9" s="2">
        <v>1</v>
      </c>
      <c r="BI9" s="2">
        <v>1</v>
      </c>
      <c r="BJ9" s="2">
        <v>0</v>
      </c>
      <c r="BK9" s="2">
        <v>1</v>
      </c>
      <c r="BL9" s="2">
        <v>0</v>
      </c>
      <c r="BM9" s="2">
        <v>0</v>
      </c>
      <c r="BN9" s="2">
        <v>1</v>
      </c>
      <c r="BO9" s="2">
        <v>1</v>
      </c>
      <c r="BP9" s="2">
        <v>0</v>
      </c>
      <c r="BQ9" s="2">
        <v>0</v>
      </c>
      <c r="BR9" s="2">
        <v>0</v>
      </c>
      <c r="BS9" s="2">
        <v>0</v>
      </c>
      <c r="BT9" s="2">
        <v>1</v>
      </c>
      <c r="BU9" s="2">
        <v>0</v>
      </c>
      <c r="BV9" s="2">
        <v>0</v>
      </c>
      <c r="BW9" s="2">
        <v>0</v>
      </c>
      <c r="BX9" s="2">
        <v>0</v>
      </c>
      <c r="BY9" s="2">
        <v>0</v>
      </c>
      <c r="BZ9" s="2">
        <v>0</v>
      </c>
      <c r="CA9">
        <v>0</v>
      </c>
      <c r="CB9" t="s">
        <v>463</v>
      </c>
    </row>
    <row r="10" spans="1:82" hidden="1" x14ac:dyDescent="0.35">
      <c r="A10" t="s">
        <v>62</v>
      </c>
      <c r="B10" s="11">
        <v>46037</v>
      </c>
      <c r="C10">
        <v>13</v>
      </c>
      <c r="D10" t="s">
        <v>63</v>
      </c>
      <c r="E10" t="s">
        <v>64</v>
      </c>
      <c r="F10" t="s">
        <v>65</v>
      </c>
      <c r="G10" t="s">
        <v>66</v>
      </c>
      <c r="H10" t="s">
        <v>67</v>
      </c>
      <c r="M10">
        <v>6.48</v>
      </c>
      <c r="N10">
        <v>386.64</v>
      </c>
      <c r="O10" t="s">
        <v>68</v>
      </c>
      <c r="P10" t="s">
        <v>295</v>
      </c>
      <c r="Q10" t="s">
        <v>296</v>
      </c>
      <c r="R10" t="s">
        <v>297</v>
      </c>
      <c r="S10" t="s">
        <v>284</v>
      </c>
      <c r="T10" t="s">
        <v>285</v>
      </c>
      <c r="U10">
        <v>6.3359999999999994</v>
      </c>
      <c r="V10" t="s">
        <v>63</v>
      </c>
      <c r="W10" t="s">
        <v>192</v>
      </c>
      <c r="X10" t="s">
        <v>202</v>
      </c>
      <c r="Y10" t="s">
        <v>396</v>
      </c>
      <c r="Z10" s="9" t="s">
        <v>395</v>
      </c>
      <c r="AB10" s="4">
        <v>2</v>
      </c>
      <c r="AC10" t="s">
        <v>386</v>
      </c>
      <c r="AD10" t="str">
        <f t="shared" si="0"/>
        <v>1-3</v>
      </c>
      <c r="AE10" t="str">
        <f t="shared" si="1"/>
        <v>1-5</v>
      </c>
      <c r="AF10" s="2" t="s">
        <v>262</v>
      </c>
      <c r="AG10" s="2">
        <v>1000</v>
      </c>
      <c r="AH10" s="3">
        <v>0.86</v>
      </c>
      <c r="AI10" s="3">
        <v>0.2</v>
      </c>
      <c r="AJ10" s="3">
        <v>0.62666666666666659</v>
      </c>
      <c r="AK10" s="3" t="s">
        <v>456</v>
      </c>
      <c r="AL10" t="s">
        <v>358</v>
      </c>
      <c r="AM10" t="s">
        <v>417</v>
      </c>
      <c r="AN10" t="s">
        <v>421</v>
      </c>
      <c r="AP10" t="s">
        <v>91</v>
      </c>
      <c r="AQ10">
        <v>0</v>
      </c>
      <c r="AR10">
        <v>1</v>
      </c>
      <c r="AS10">
        <v>1</v>
      </c>
      <c r="AT10">
        <v>1</v>
      </c>
      <c r="AU10">
        <v>0</v>
      </c>
      <c r="AV10">
        <v>0.6</v>
      </c>
      <c r="AW10">
        <v>1</v>
      </c>
      <c r="AX10">
        <v>0</v>
      </c>
      <c r="AY10">
        <v>0.5</v>
      </c>
      <c r="AZ10">
        <v>0</v>
      </c>
      <c r="BA10">
        <v>0</v>
      </c>
      <c r="BB10">
        <v>1</v>
      </c>
      <c r="BC10">
        <v>0.33333333333333331</v>
      </c>
      <c r="BD10">
        <v>1</v>
      </c>
      <c r="BE10">
        <v>0</v>
      </c>
      <c r="BF10">
        <v>1</v>
      </c>
      <c r="BG10">
        <v>0.66666666666666663</v>
      </c>
      <c r="BH10">
        <v>1</v>
      </c>
      <c r="BI10">
        <v>1</v>
      </c>
      <c r="BJ10">
        <v>0</v>
      </c>
      <c r="BK10">
        <v>0</v>
      </c>
      <c r="BL10">
        <v>1</v>
      </c>
      <c r="BM10">
        <v>1</v>
      </c>
      <c r="BN10">
        <v>0</v>
      </c>
      <c r="BO10">
        <v>0</v>
      </c>
      <c r="BP10">
        <v>0</v>
      </c>
      <c r="BQ10">
        <v>0</v>
      </c>
      <c r="BR10">
        <v>0</v>
      </c>
      <c r="BS10">
        <v>0</v>
      </c>
      <c r="BT10">
        <v>1</v>
      </c>
      <c r="BU10">
        <v>0</v>
      </c>
      <c r="BV10">
        <v>0</v>
      </c>
      <c r="BW10">
        <v>0</v>
      </c>
      <c r="BX10">
        <v>0</v>
      </c>
      <c r="BY10">
        <v>0</v>
      </c>
      <c r="BZ10">
        <v>0</v>
      </c>
      <c r="CA10">
        <v>0</v>
      </c>
      <c r="CB10" t="s">
        <v>463</v>
      </c>
    </row>
    <row r="11" spans="1:82" hidden="1" x14ac:dyDescent="0.35">
      <c r="A11" t="s">
        <v>69</v>
      </c>
      <c r="B11" s="11">
        <v>46038</v>
      </c>
      <c r="C11">
        <v>14</v>
      </c>
      <c r="D11" t="s">
        <v>70</v>
      </c>
      <c r="E11" t="s">
        <v>71</v>
      </c>
      <c r="F11" t="s">
        <v>72</v>
      </c>
      <c r="G11" t="s">
        <v>73</v>
      </c>
      <c r="H11" t="s">
        <v>74</v>
      </c>
      <c r="M11">
        <v>8.24</v>
      </c>
      <c r="N11">
        <v>432.4</v>
      </c>
      <c r="O11" t="s">
        <v>75</v>
      </c>
      <c r="P11" t="s">
        <v>298</v>
      </c>
      <c r="Q11" t="s">
        <v>46</v>
      </c>
      <c r="R11" t="s">
        <v>299</v>
      </c>
      <c r="S11" t="s">
        <v>294</v>
      </c>
      <c r="T11" t="s">
        <v>273</v>
      </c>
      <c r="U11">
        <v>7.0693333333333328</v>
      </c>
      <c r="V11" t="s">
        <v>70</v>
      </c>
      <c r="W11" t="s">
        <v>194</v>
      </c>
      <c r="X11" t="s">
        <v>203</v>
      </c>
      <c r="Y11" t="s">
        <v>396</v>
      </c>
      <c r="Z11" s="9" t="s">
        <v>395</v>
      </c>
      <c r="AB11" s="4">
        <v>9</v>
      </c>
      <c r="AC11" t="s">
        <v>387</v>
      </c>
      <c r="AD11" t="str">
        <f t="shared" si="0"/>
        <v>8-10</v>
      </c>
      <c r="AE11" t="str">
        <f t="shared" si="1"/>
        <v>8-10</v>
      </c>
      <c r="AF11" s="2" t="s">
        <v>262</v>
      </c>
      <c r="AG11" s="2">
        <v>1000</v>
      </c>
      <c r="AH11" s="3">
        <v>0.69</v>
      </c>
      <c r="AI11" s="3">
        <v>0.28999999999999998</v>
      </c>
      <c r="AJ11" s="3">
        <v>0.72222222222222221</v>
      </c>
      <c r="AK11" s="3" t="s">
        <v>458</v>
      </c>
      <c r="AL11" t="s">
        <v>359</v>
      </c>
      <c r="AM11" t="s">
        <v>417</v>
      </c>
      <c r="AN11" t="s">
        <v>419</v>
      </c>
      <c r="AP11" t="s">
        <v>98</v>
      </c>
      <c r="AQ11" s="2">
        <v>1</v>
      </c>
      <c r="AR11" s="2">
        <v>1</v>
      </c>
      <c r="AS11" s="2">
        <v>0</v>
      </c>
      <c r="AT11" s="2">
        <v>1</v>
      </c>
      <c r="AU11" s="2">
        <v>0</v>
      </c>
      <c r="AV11" s="2">
        <v>0.6</v>
      </c>
      <c r="AW11" s="2">
        <v>1</v>
      </c>
      <c r="AX11" s="2">
        <v>1</v>
      </c>
      <c r="AY11" s="2">
        <v>1</v>
      </c>
      <c r="AZ11" s="2">
        <v>0</v>
      </c>
      <c r="BA11" s="2">
        <v>1</v>
      </c>
      <c r="BB11" s="2">
        <v>1</v>
      </c>
      <c r="BC11" s="2">
        <v>0.66666666666666663</v>
      </c>
      <c r="BD11" s="2">
        <v>1</v>
      </c>
      <c r="BE11" s="2">
        <v>0</v>
      </c>
      <c r="BF11" s="2">
        <v>1</v>
      </c>
      <c r="BG11" s="2">
        <v>0.66666666666666663</v>
      </c>
      <c r="BH11" s="2">
        <v>1</v>
      </c>
      <c r="BI11" s="2">
        <v>1</v>
      </c>
      <c r="BJ11" s="2">
        <v>0</v>
      </c>
      <c r="BK11" s="2">
        <v>1</v>
      </c>
      <c r="BL11" s="2">
        <v>1</v>
      </c>
      <c r="BM11" s="2">
        <v>1</v>
      </c>
      <c r="BN11" s="2">
        <v>1</v>
      </c>
      <c r="BO11" s="2">
        <v>1</v>
      </c>
      <c r="BP11" s="2">
        <v>0</v>
      </c>
      <c r="BQ11" s="2">
        <v>0</v>
      </c>
      <c r="BR11" s="2">
        <v>0</v>
      </c>
      <c r="BS11" s="2">
        <v>0</v>
      </c>
      <c r="BT11" s="2">
        <v>0</v>
      </c>
      <c r="BU11" s="2">
        <v>0</v>
      </c>
      <c r="BV11" s="2">
        <v>0</v>
      </c>
      <c r="BW11" s="2">
        <v>0</v>
      </c>
      <c r="BX11" s="2">
        <v>0</v>
      </c>
      <c r="BY11" s="2">
        <v>0</v>
      </c>
      <c r="BZ11" s="2">
        <v>0</v>
      </c>
      <c r="CA11">
        <v>0</v>
      </c>
      <c r="CB11" t="s">
        <v>463</v>
      </c>
    </row>
    <row r="12" spans="1:82" hidden="1" x14ac:dyDescent="0.35">
      <c r="A12" t="s">
        <v>77</v>
      </c>
      <c r="B12" s="11">
        <v>46039</v>
      </c>
      <c r="C12">
        <v>15</v>
      </c>
      <c r="D12" t="s">
        <v>78</v>
      </c>
      <c r="E12" t="s">
        <v>79</v>
      </c>
      <c r="F12" t="s">
        <v>80</v>
      </c>
      <c r="G12" t="s">
        <v>81</v>
      </c>
      <c r="H12" t="s">
        <v>82</v>
      </c>
      <c r="M12">
        <v>2.2400000000000002</v>
      </c>
      <c r="N12">
        <v>318.48</v>
      </c>
      <c r="O12" t="s">
        <v>83</v>
      </c>
      <c r="P12" t="s">
        <v>300</v>
      </c>
      <c r="Q12" t="s">
        <v>46</v>
      </c>
      <c r="R12" t="s">
        <v>301</v>
      </c>
      <c r="S12" t="s">
        <v>294</v>
      </c>
      <c r="T12" t="s">
        <v>273</v>
      </c>
      <c r="U12">
        <v>5.2706666666666671</v>
      </c>
      <c r="V12" t="s">
        <v>78</v>
      </c>
      <c r="W12" t="s">
        <v>194</v>
      </c>
      <c r="X12" t="s">
        <v>204</v>
      </c>
      <c r="Y12" t="s">
        <v>396</v>
      </c>
      <c r="Z12" s="9" t="s">
        <v>395</v>
      </c>
      <c r="AB12" s="4">
        <v>8</v>
      </c>
      <c r="AC12" t="s">
        <v>227</v>
      </c>
      <c r="AD12" t="str">
        <f t="shared" si="0"/>
        <v>8-10</v>
      </c>
      <c r="AE12" t="str">
        <f t="shared" si="1"/>
        <v>8-10</v>
      </c>
      <c r="AF12" s="2" t="s">
        <v>262</v>
      </c>
      <c r="AG12" s="2">
        <v>1000</v>
      </c>
      <c r="AH12" s="3">
        <v>0.57999999999999996</v>
      </c>
      <c r="AI12" s="3">
        <v>0.37</v>
      </c>
      <c r="AJ12" s="3">
        <v>0.49611111111111111</v>
      </c>
      <c r="AK12" s="3" t="s">
        <v>457</v>
      </c>
      <c r="AL12" t="s">
        <v>360</v>
      </c>
      <c r="AM12" t="s">
        <v>417</v>
      </c>
      <c r="AN12" t="s">
        <v>419</v>
      </c>
      <c r="AP12" t="s">
        <v>83</v>
      </c>
      <c r="AQ12">
        <v>1</v>
      </c>
      <c r="AR12">
        <v>1</v>
      </c>
      <c r="AS12">
        <v>0</v>
      </c>
      <c r="AT12">
        <v>1</v>
      </c>
      <c r="AU12">
        <v>0</v>
      </c>
      <c r="AV12">
        <v>0.6</v>
      </c>
      <c r="AW12">
        <v>1</v>
      </c>
      <c r="AX12">
        <v>0</v>
      </c>
      <c r="AY12">
        <v>0.5</v>
      </c>
      <c r="AZ12">
        <v>0</v>
      </c>
      <c r="BA12">
        <v>0</v>
      </c>
      <c r="BB12">
        <v>0</v>
      </c>
      <c r="BC12">
        <v>0</v>
      </c>
      <c r="BD12">
        <v>1</v>
      </c>
      <c r="BE12">
        <v>0</v>
      </c>
      <c r="BF12">
        <v>1</v>
      </c>
      <c r="BG12">
        <v>0.66666666666666663</v>
      </c>
      <c r="BH12">
        <v>1</v>
      </c>
      <c r="BI12">
        <v>1</v>
      </c>
      <c r="BJ12">
        <v>0</v>
      </c>
      <c r="BK12">
        <v>1</v>
      </c>
      <c r="BL12">
        <v>0</v>
      </c>
      <c r="BM12">
        <v>1</v>
      </c>
      <c r="BN12">
        <v>1</v>
      </c>
      <c r="BO12">
        <v>1</v>
      </c>
      <c r="BP12">
        <v>0</v>
      </c>
      <c r="BQ12">
        <v>0</v>
      </c>
      <c r="BR12">
        <v>0</v>
      </c>
      <c r="BS12">
        <v>1</v>
      </c>
      <c r="BT12">
        <v>1</v>
      </c>
      <c r="BU12">
        <v>0</v>
      </c>
      <c r="BV12">
        <v>0</v>
      </c>
      <c r="BW12">
        <v>0</v>
      </c>
      <c r="BX12">
        <v>0</v>
      </c>
      <c r="BY12">
        <v>0</v>
      </c>
      <c r="BZ12">
        <v>0</v>
      </c>
      <c r="CA12">
        <v>0</v>
      </c>
      <c r="CB12" t="s">
        <v>463</v>
      </c>
    </row>
    <row r="13" spans="1:82" hidden="1" x14ac:dyDescent="0.35">
      <c r="A13" t="s">
        <v>84</v>
      </c>
      <c r="B13" s="11">
        <v>46040</v>
      </c>
      <c r="C13">
        <v>16</v>
      </c>
      <c r="D13" t="s">
        <v>85</v>
      </c>
      <c r="E13" t="s">
        <v>86</v>
      </c>
      <c r="F13" t="s">
        <v>87</v>
      </c>
      <c r="G13" t="s">
        <v>88</v>
      </c>
      <c r="H13" t="s">
        <v>89</v>
      </c>
      <c r="M13">
        <v>1.76</v>
      </c>
      <c r="N13">
        <v>392.16</v>
      </c>
      <c r="O13" t="s">
        <v>90</v>
      </c>
      <c r="P13" t="s">
        <v>302</v>
      </c>
      <c r="Q13" t="s">
        <v>303</v>
      </c>
      <c r="R13" t="s">
        <v>304</v>
      </c>
      <c r="S13" t="s">
        <v>303</v>
      </c>
      <c r="T13" t="s">
        <v>285</v>
      </c>
      <c r="U13">
        <v>6.5066666666666668</v>
      </c>
      <c r="V13" t="s">
        <v>85</v>
      </c>
      <c r="W13" t="s">
        <v>192</v>
      </c>
      <c r="X13" t="s">
        <v>205</v>
      </c>
      <c r="Y13" t="s">
        <v>396</v>
      </c>
      <c r="Z13" s="9" t="s">
        <v>395</v>
      </c>
      <c r="AB13" s="4">
        <v>8</v>
      </c>
      <c r="AC13" t="s">
        <v>388</v>
      </c>
      <c r="AD13" t="str">
        <f t="shared" si="0"/>
        <v>8-10</v>
      </c>
      <c r="AE13" t="str">
        <f t="shared" si="1"/>
        <v>8-10</v>
      </c>
      <c r="AF13" s="2" t="s">
        <v>262</v>
      </c>
      <c r="AG13" s="2">
        <v>1000</v>
      </c>
      <c r="AH13" s="3">
        <v>0.83</v>
      </c>
      <c r="AI13" s="3">
        <v>0.5</v>
      </c>
      <c r="AJ13" s="3">
        <v>0.53833333333333333</v>
      </c>
      <c r="AK13" s="3" t="s">
        <v>456</v>
      </c>
      <c r="AL13" t="s">
        <v>361</v>
      </c>
      <c r="AM13" t="s">
        <v>417</v>
      </c>
      <c r="AN13" t="s">
        <v>419</v>
      </c>
      <c r="AP13" t="s">
        <v>121</v>
      </c>
      <c r="AQ13" s="2">
        <v>0</v>
      </c>
      <c r="AR13" s="2">
        <v>1</v>
      </c>
      <c r="AS13" s="2">
        <v>0</v>
      </c>
      <c r="AT13" s="2">
        <v>1</v>
      </c>
      <c r="AU13" s="2">
        <v>0</v>
      </c>
      <c r="AV13" s="2">
        <v>0.4</v>
      </c>
      <c r="AW13" s="2">
        <v>1</v>
      </c>
      <c r="AX13" s="2">
        <v>0</v>
      </c>
      <c r="AY13" s="2">
        <v>0.5</v>
      </c>
      <c r="AZ13" s="2">
        <v>0</v>
      </c>
      <c r="BA13" s="2">
        <v>1</v>
      </c>
      <c r="BB13" s="2">
        <v>0</v>
      </c>
      <c r="BC13" s="2">
        <v>0.33333333333333331</v>
      </c>
      <c r="BD13" s="2">
        <v>1</v>
      </c>
      <c r="BE13" s="2">
        <v>0</v>
      </c>
      <c r="BF13" s="2">
        <v>1</v>
      </c>
      <c r="BG13" s="2">
        <v>0.66666666666666663</v>
      </c>
      <c r="BH13" s="2">
        <v>1</v>
      </c>
      <c r="BI13" s="2">
        <v>1</v>
      </c>
      <c r="BJ13" s="2">
        <v>0</v>
      </c>
      <c r="BK13" s="2">
        <v>1</v>
      </c>
      <c r="BL13" s="2">
        <v>0</v>
      </c>
      <c r="BM13" s="2">
        <v>0</v>
      </c>
      <c r="BN13" s="2">
        <v>1</v>
      </c>
      <c r="BO13" s="2">
        <v>1</v>
      </c>
      <c r="BP13" s="2">
        <v>0</v>
      </c>
      <c r="BQ13" s="2">
        <v>0</v>
      </c>
      <c r="BR13" s="2">
        <v>0</v>
      </c>
      <c r="BS13" s="2">
        <v>0</v>
      </c>
      <c r="BT13" s="2">
        <v>1</v>
      </c>
      <c r="BU13" s="2">
        <v>0</v>
      </c>
      <c r="BV13" s="2">
        <v>0</v>
      </c>
      <c r="BW13" s="2">
        <v>0</v>
      </c>
      <c r="BX13" s="2">
        <v>0</v>
      </c>
      <c r="BY13" s="2">
        <v>0</v>
      </c>
      <c r="BZ13" s="2">
        <v>0</v>
      </c>
      <c r="CA13">
        <v>0</v>
      </c>
      <c r="CB13" t="s">
        <v>462</v>
      </c>
    </row>
    <row r="14" spans="1:82" s="2" customFormat="1" hidden="1" x14ac:dyDescent="0.35">
      <c r="A14" s="2" t="s">
        <v>92</v>
      </c>
      <c r="B14" s="11">
        <v>46040</v>
      </c>
      <c r="C14" s="2">
        <v>17</v>
      </c>
      <c r="D14" s="2" t="s">
        <v>93</v>
      </c>
      <c r="E14" s="2" t="s">
        <v>94</v>
      </c>
      <c r="F14" s="2" t="s">
        <v>95</v>
      </c>
      <c r="G14" s="2" t="s">
        <v>96</v>
      </c>
      <c r="H14" s="2" t="s">
        <v>97</v>
      </c>
      <c r="M14" s="2">
        <v>0.88</v>
      </c>
      <c r="N14" s="2">
        <v>754.48</v>
      </c>
      <c r="O14" s="2" t="s">
        <v>98</v>
      </c>
      <c r="P14" t="s">
        <v>305</v>
      </c>
      <c r="Q14" t="s">
        <v>46</v>
      </c>
      <c r="R14" t="s">
        <v>293</v>
      </c>
      <c r="S14" t="s">
        <v>294</v>
      </c>
      <c r="T14" t="s">
        <v>273</v>
      </c>
      <c r="U14">
        <v>12.56</v>
      </c>
      <c r="V14" s="2" t="s">
        <v>93</v>
      </c>
      <c r="W14" t="s">
        <v>192</v>
      </c>
      <c r="X14" t="s">
        <v>206</v>
      </c>
      <c r="Y14" t="s">
        <v>405</v>
      </c>
      <c r="Z14" s="9" t="s">
        <v>410</v>
      </c>
      <c r="AA14" t="s">
        <v>228</v>
      </c>
      <c r="AB14" s="4">
        <v>8</v>
      </c>
      <c r="AC14" t="s">
        <v>229</v>
      </c>
      <c r="AD14" t="str">
        <f t="shared" si="0"/>
        <v>8-10</v>
      </c>
      <c r="AE14" t="str">
        <f t="shared" si="1"/>
        <v>8-10</v>
      </c>
      <c r="AF14" s="2" t="s">
        <v>262</v>
      </c>
      <c r="AG14" s="2">
        <v>1000</v>
      </c>
      <c r="AH14" s="3">
        <v>0.56999999999999995</v>
      </c>
      <c r="AI14" s="3">
        <v>0.34</v>
      </c>
      <c r="AJ14" s="3">
        <v>0.69388888888888889</v>
      </c>
      <c r="AK14" s="3" t="s">
        <v>456</v>
      </c>
      <c r="AL14" t="s">
        <v>362</v>
      </c>
      <c r="AM14" t="s">
        <v>417</v>
      </c>
      <c r="AN14" t="s">
        <v>419</v>
      </c>
      <c r="AP14" t="s">
        <v>98</v>
      </c>
      <c r="AQ14" s="2">
        <v>1</v>
      </c>
      <c r="AR14" s="2">
        <v>1</v>
      </c>
      <c r="AS14" s="2">
        <v>0</v>
      </c>
      <c r="AT14" s="2">
        <v>1</v>
      </c>
      <c r="AU14" s="2">
        <v>0</v>
      </c>
      <c r="AV14" s="2">
        <v>0.6</v>
      </c>
      <c r="AW14" s="2">
        <v>1</v>
      </c>
      <c r="AX14" s="2">
        <v>1</v>
      </c>
      <c r="AY14" s="2">
        <v>1</v>
      </c>
      <c r="AZ14" s="2">
        <v>0</v>
      </c>
      <c r="BA14" s="2">
        <v>1</v>
      </c>
      <c r="BB14" s="2">
        <v>1</v>
      </c>
      <c r="BC14" s="2">
        <v>0.66666666666666663</v>
      </c>
      <c r="BD14" s="2">
        <v>1</v>
      </c>
      <c r="BE14" s="2">
        <v>0</v>
      </c>
      <c r="BF14" s="2">
        <v>1</v>
      </c>
      <c r="BG14" s="2">
        <v>0.66666666666666663</v>
      </c>
      <c r="BH14" s="2">
        <v>1</v>
      </c>
      <c r="BI14" s="2">
        <v>1</v>
      </c>
      <c r="BJ14" s="2">
        <v>0</v>
      </c>
      <c r="BK14" s="2">
        <v>1</v>
      </c>
      <c r="BL14" s="2">
        <v>1</v>
      </c>
      <c r="BM14" s="2">
        <v>1</v>
      </c>
      <c r="BN14" s="2">
        <v>1</v>
      </c>
      <c r="BO14" s="2">
        <v>1</v>
      </c>
      <c r="BP14" s="2">
        <v>0</v>
      </c>
      <c r="BQ14" s="2">
        <v>0</v>
      </c>
      <c r="BR14" s="2">
        <v>0</v>
      </c>
      <c r="BS14" s="2">
        <v>0</v>
      </c>
      <c r="BT14" s="2">
        <v>0</v>
      </c>
      <c r="BU14" s="2">
        <v>0</v>
      </c>
      <c r="BV14" s="2">
        <v>0</v>
      </c>
      <c r="BW14" s="2">
        <v>0</v>
      </c>
      <c r="BX14" s="2">
        <v>0</v>
      </c>
      <c r="BY14" s="2">
        <v>0</v>
      </c>
      <c r="BZ14" s="2">
        <v>0</v>
      </c>
      <c r="CA14">
        <v>0</v>
      </c>
      <c r="CB14" s="2" t="s">
        <v>463</v>
      </c>
    </row>
    <row r="15" spans="1:82" s="2" customFormat="1" hidden="1" x14ac:dyDescent="0.35">
      <c r="A15" s="2" t="s">
        <v>99</v>
      </c>
      <c r="B15" s="11">
        <v>46041</v>
      </c>
      <c r="C15" s="2">
        <v>18</v>
      </c>
      <c r="D15" s="2" t="s">
        <v>100</v>
      </c>
      <c r="E15" s="2" t="s">
        <v>101</v>
      </c>
      <c r="F15" s="2" t="s">
        <v>102</v>
      </c>
      <c r="M15" s="2">
        <v>4.5599999999999996</v>
      </c>
      <c r="N15" s="2">
        <v>312.08</v>
      </c>
      <c r="O15" s="2" t="s">
        <v>103</v>
      </c>
      <c r="P15" t="s">
        <v>306</v>
      </c>
      <c r="Q15" t="s">
        <v>282</v>
      </c>
      <c r="R15" t="s">
        <v>307</v>
      </c>
      <c r="S15" t="s">
        <v>284</v>
      </c>
      <c r="T15" t="s">
        <v>285</v>
      </c>
      <c r="U15">
        <v>5.1253333333333329</v>
      </c>
      <c r="V15" s="2" t="s">
        <v>100</v>
      </c>
      <c r="W15" t="s">
        <v>207</v>
      </c>
      <c r="X15" t="s">
        <v>208</v>
      </c>
      <c r="Y15" t="s">
        <v>405</v>
      </c>
      <c r="Z15" s="9" t="s">
        <v>412</v>
      </c>
      <c r="AA15" t="s">
        <v>230</v>
      </c>
      <c r="AB15" s="4">
        <v>9</v>
      </c>
      <c r="AC15" t="s">
        <v>231</v>
      </c>
      <c r="AD15" t="str">
        <f t="shared" si="0"/>
        <v>8-10</v>
      </c>
      <c r="AE15" t="str">
        <f t="shared" si="1"/>
        <v>8-10</v>
      </c>
      <c r="AF15" s="5" t="s">
        <v>263</v>
      </c>
      <c r="AG15" s="5">
        <v>1001</v>
      </c>
      <c r="AH15" s="3">
        <v>0.83</v>
      </c>
      <c r="AI15" s="3">
        <v>0.16</v>
      </c>
      <c r="AJ15" s="3">
        <v>0.73944444444444457</v>
      </c>
      <c r="AK15" s="3" t="s">
        <v>458</v>
      </c>
      <c r="AL15" t="s">
        <v>363</v>
      </c>
      <c r="AM15" t="s">
        <v>417</v>
      </c>
      <c r="AN15" t="s">
        <v>419</v>
      </c>
      <c r="AP15" t="s">
        <v>103</v>
      </c>
      <c r="AQ15" s="2">
        <v>0</v>
      </c>
      <c r="AR15" s="2">
        <v>1</v>
      </c>
      <c r="AS15" s="2">
        <v>1</v>
      </c>
      <c r="AT15" s="2">
        <v>1</v>
      </c>
      <c r="AU15" s="2">
        <v>0</v>
      </c>
      <c r="AV15" s="2">
        <v>0.6</v>
      </c>
      <c r="AW15" s="2">
        <v>1</v>
      </c>
      <c r="AX15" s="2">
        <v>0</v>
      </c>
      <c r="AY15" s="2">
        <v>0.5</v>
      </c>
      <c r="AZ15" s="2">
        <v>1</v>
      </c>
      <c r="BA15" s="2">
        <v>0</v>
      </c>
      <c r="BB15" s="2">
        <v>1</v>
      </c>
      <c r="BC15" s="2">
        <v>0.66666666666666663</v>
      </c>
      <c r="BD15" s="2">
        <v>1</v>
      </c>
      <c r="BE15" s="2">
        <v>1</v>
      </c>
      <c r="BF15" s="2">
        <v>1</v>
      </c>
      <c r="BG15" s="2">
        <v>1</v>
      </c>
      <c r="BH15" s="2">
        <v>1</v>
      </c>
      <c r="BI15" s="2">
        <v>1</v>
      </c>
      <c r="BJ15" s="2">
        <v>1</v>
      </c>
      <c r="BK15" s="2">
        <v>1</v>
      </c>
      <c r="BL15" s="2">
        <v>0</v>
      </c>
      <c r="BM15" s="2">
        <v>1</v>
      </c>
      <c r="BN15" s="2">
        <v>0</v>
      </c>
      <c r="BO15" s="2">
        <v>0</v>
      </c>
      <c r="BP15" s="2">
        <v>0</v>
      </c>
      <c r="BQ15" s="2">
        <v>0</v>
      </c>
      <c r="BR15" s="2">
        <v>0</v>
      </c>
      <c r="BS15" s="2">
        <v>0</v>
      </c>
      <c r="BT15" s="2">
        <v>0</v>
      </c>
      <c r="BU15" s="2">
        <v>0</v>
      </c>
      <c r="BV15" s="2">
        <v>0</v>
      </c>
      <c r="BW15" s="2">
        <v>0</v>
      </c>
      <c r="BX15" s="2">
        <v>0</v>
      </c>
      <c r="BY15" s="2">
        <v>0</v>
      </c>
      <c r="BZ15" s="2">
        <v>0</v>
      </c>
      <c r="CA15">
        <v>0</v>
      </c>
      <c r="CB15" s="2" t="s">
        <v>463</v>
      </c>
    </row>
    <row r="16" spans="1:82" s="2" customFormat="1" hidden="1" x14ac:dyDescent="0.35">
      <c r="A16" s="2" t="s">
        <v>104</v>
      </c>
      <c r="B16" s="11">
        <v>46043</v>
      </c>
      <c r="C16" s="2">
        <v>19</v>
      </c>
      <c r="D16" s="2" t="s">
        <v>105</v>
      </c>
      <c r="E16" s="2" t="s">
        <v>106</v>
      </c>
      <c r="F16" s="2" t="s">
        <v>107</v>
      </c>
      <c r="M16" s="2">
        <v>5.12</v>
      </c>
      <c r="N16" s="2">
        <v>311.44</v>
      </c>
      <c r="O16" s="2" t="s">
        <v>108</v>
      </c>
      <c r="P16" t="s">
        <v>308</v>
      </c>
      <c r="Q16" t="s">
        <v>46</v>
      </c>
      <c r="R16" t="s">
        <v>309</v>
      </c>
      <c r="S16" t="s">
        <v>294</v>
      </c>
      <c r="T16" t="s">
        <v>273</v>
      </c>
      <c r="U16">
        <v>5.1053333333333333</v>
      </c>
      <c r="V16" s="2" t="s">
        <v>105</v>
      </c>
      <c r="W16" t="s">
        <v>209</v>
      </c>
      <c r="X16" t="s">
        <v>210</v>
      </c>
      <c r="Y16" t="s">
        <v>396</v>
      </c>
      <c r="Z16" s="9" t="s">
        <v>395</v>
      </c>
      <c r="AA16"/>
      <c r="AB16" s="4">
        <v>9</v>
      </c>
      <c r="AC16" t="s">
        <v>232</v>
      </c>
      <c r="AD16" t="str">
        <f t="shared" si="0"/>
        <v>8-10</v>
      </c>
      <c r="AE16" t="str">
        <f t="shared" si="1"/>
        <v>8-10</v>
      </c>
      <c r="AF16" s="5" t="s">
        <v>263</v>
      </c>
      <c r="AG16" s="5">
        <v>1001</v>
      </c>
      <c r="AH16" s="3">
        <v>0.57999999999999996</v>
      </c>
      <c r="AI16" s="3">
        <v>0.49</v>
      </c>
      <c r="AJ16" s="3">
        <v>0.5872222222222222</v>
      </c>
      <c r="AK16" s="3" t="s">
        <v>456</v>
      </c>
      <c r="AL16" t="s">
        <v>364</v>
      </c>
      <c r="AM16" t="s">
        <v>417</v>
      </c>
      <c r="AN16" t="s">
        <v>419</v>
      </c>
      <c r="AP16" t="s">
        <v>108</v>
      </c>
      <c r="AQ16" s="2">
        <v>0</v>
      </c>
      <c r="AR16" s="2">
        <v>1</v>
      </c>
      <c r="AS16" s="2">
        <v>1</v>
      </c>
      <c r="AT16" s="2">
        <v>1</v>
      </c>
      <c r="AU16" s="2">
        <v>0</v>
      </c>
      <c r="AV16" s="2">
        <v>0.6</v>
      </c>
      <c r="AW16" s="2">
        <v>1</v>
      </c>
      <c r="AX16" s="2">
        <v>0</v>
      </c>
      <c r="AY16" s="2">
        <v>0.5</v>
      </c>
      <c r="AZ16" s="2">
        <v>0</v>
      </c>
      <c r="BA16" s="2">
        <v>0</v>
      </c>
      <c r="BB16" s="2">
        <v>1</v>
      </c>
      <c r="BC16" s="2">
        <v>0.33333333333333331</v>
      </c>
      <c r="BD16" s="2">
        <v>1</v>
      </c>
      <c r="BE16" s="2">
        <v>1</v>
      </c>
      <c r="BF16" s="2">
        <v>1</v>
      </c>
      <c r="BG16" s="2">
        <v>1</v>
      </c>
      <c r="BH16" s="2">
        <v>1</v>
      </c>
      <c r="BI16" s="2">
        <v>1</v>
      </c>
      <c r="BJ16" s="2">
        <v>0</v>
      </c>
      <c r="BK16" s="2">
        <v>1</v>
      </c>
      <c r="BL16" s="2">
        <v>0</v>
      </c>
      <c r="BM16" s="2">
        <v>1</v>
      </c>
      <c r="BN16" s="2">
        <v>0</v>
      </c>
      <c r="BO16" s="2">
        <v>0</v>
      </c>
      <c r="BP16" s="2">
        <v>0</v>
      </c>
      <c r="BQ16" s="2">
        <v>0</v>
      </c>
      <c r="BR16" s="2">
        <v>0</v>
      </c>
      <c r="BS16" s="2">
        <v>0</v>
      </c>
      <c r="BT16" s="2">
        <v>1</v>
      </c>
      <c r="BU16" s="2">
        <v>0</v>
      </c>
      <c r="BV16" s="2">
        <v>0</v>
      </c>
      <c r="BW16" s="2">
        <v>0</v>
      </c>
      <c r="BX16" s="2">
        <v>0</v>
      </c>
      <c r="BY16" s="2">
        <v>0</v>
      </c>
      <c r="BZ16" s="2">
        <v>0</v>
      </c>
      <c r="CA16">
        <v>0</v>
      </c>
      <c r="CB16" s="2" t="s">
        <v>463</v>
      </c>
    </row>
    <row r="17" spans="1:82" ht="29" x14ac:dyDescent="0.35">
      <c r="A17" t="s">
        <v>109</v>
      </c>
      <c r="B17" s="11">
        <v>46029</v>
      </c>
      <c r="C17">
        <v>2</v>
      </c>
      <c r="D17" t="s">
        <v>110</v>
      </c>
      <c r="E17" t="s">
        <v>111</v>
      </c>
      <c r="F17" t="s">
        <v>112</v>
      </c>
      <c r="G17" t="s">
        <v>113</v>
      </c>
      <c r="H17" t="s">
        <v>114</v>
      </c>
      <c r="M17">
        <v>6.4</v>
      </c>
      <c r="N17">
        <v>339.84</v>
      </c>
      <c r="O17" t="s">
        <v>115</v>
      </c>
      <c r="P17" t="s">
        <v>310</v>
      </c>
      <c r="Q17" t="s">
        <v>46</v>
      </c>
      <c r="R17" t="s">
        <v>293</v>
      </c>
      <c r="S17" t="s">
        <v>294</v>
      </c>
      <c r="T17" t="s">
        <v>273</v>
      </c>
      <c r="U17">
        <v>5.5573333333333332</v>
      </c>
      <c r="V17" t="s">
        <v>110</v>
      </c>
      <c r="W17" t="s">
        <v>194</v>
      </c>
      <c r="X17" t="s">
        <v>211</v>
      </c>
      <c r="Y17" t="s">
        <v>405</v>
      </c>
      <c r="Z17" s="9" t="s">
        <v>406</v>
      </c>
      <c r="AA17" t="s">
        <v>233</v>
      </c>
      <c r="AB17" s="4">
        <v>8</v>
      </c>
      <c r="AC17" t="s">
        <v>234</v>
      </c>
      <c r="AD17" t="str">
        <f t="shared" si="0"/>
        <v>8-10</v>
      </c>
      <c r="AE17" t="str">
        <f t="shared" si="1"/>
        <v>8-10</v>
      </c>
      <c r="AF17" s="5" t="s">
        <v>263</v>
      </c>
      <c r="AG17" s="5">
        <v>1001</v>
      </c>
      <c r="AH17" s="3">
        <v>0.61</v>
      </c>
      <c r="AI17" s="3">
        <v>0.28000000000000003</v>
      </c>
      <c r="AJ17" s="3">
        <v>0.62722222222222224</v>
      </c>
      <c r="AK17" s="3" t="s">
        <v>456</v>
      </c>
      <c r="AL17" t="s">
        <v>365</v>
      </c>
      <c r="AM17" t="s">
        <v>417</v>
      </c>
      <c r="AN17" t="s">
        <v>419</v>
      </c>
      <c r="AP17" t="s">
        <v>115</v>
      </c>
      <c r="AQ17">
        <v>0</v>
      </c>
      <c r="AR17">
        <v>1</v>
      </c>
      <c r="AS17">
        <v>1</v>
      </c>
      <c r="AT17">
        <v>1</v>
      </c>
      <c r="AU17">
        <v>0</v>
      </c>
      <c r="AV17">
        <v>0.6</v>
      </c>
      <c r="AW17">
        <v>1</v>
      </c>
      <c r="AX17">
        <v>0</v>
      </c>
      <c r="AY17">
        <v>0.5</v>
      </c>
      <c r="AZ17">
        <v>0</v>
      </c>
      <c r="BA17">
        <v>0</v>
      </c>
      <c r="BB17">
        <v>1</v>
      </c>
      <c r="BC17">
        <v>0.33333333333333331</v>
      </c>
      <c r="BD17">
        <v>1</v>
      </c>
      <c r="BE17">
        <v>1</v>
      </c>
      <c r="BF17">
        <v>1</v>
      </c>
      <c r="BG17">
        <v>1</v>
      </c>
      <c r="BH17">
        <v>0</v>
      </c>
      <c r="BI17">
        <v>0</v>
      </c>
      <c r="BJ17">
        <v>0</v>
      </c>
      <c r="BK17">
        <v>1</v>
      </c>
      <c r="BL17">
        <v>1</v>
      </c>
      <c r="BM17">
        <v>1</v>
      </c>
      <c r="BN17">
        <v>1</v>
      </c>
      <c r="BO17">
        <v>1</v>
      </c>
      <c r="BP17">
        <v>0</v>
      </c>
      <c r="BQ17">
        <v>0</v>
      </c>
      <c r="BR17">
        <v>0</v>
      </c>
      <c r="BS17">
        <v>0</v>
      </c>
      <c r="BT17">
        <v>1</v>
      </c>
      <c r="BU17">
        <v>0</v>
      </c>
      <c r="BV17">
        <v>0</v>
      </c>
      <c r="BW17">
        <v>0</v>
      </c>
      <c r="BX17">
        <v>0</v>
      </c>
      <c r="BY17">
        <v>0</v>
      </c>
      <c r="BZ17">
        <v>0</v>
      </c>
      <c r="CA17">
        <v>1</v>
      </c>
      <c r="CB17" t="s">
        <v>463</v>
      </c>
    </row>
    <row r="18" spans="1:82" s="2" customFormat="1" hidden="1" x14ac:dyDescent="0.35">
      <c r="A18" s="2" t="s">
        <v>117</v>
      </c>
      <c r="B18" s="11">
        <v>46043</v>
      </c>
      <c r="C18" s="2">
        <v>20</v>
      </c>
      <c r="D18" s="2" t="s">
        <v>118</v>
      </c>
      <c r="E18" s="2" t="s">
        <v>119</v>
      </c>
      <c r="F18" s="2" t="s">
        <v>120</v>
      </c>
      <c r="M18" s="2">
        <v>7.84</v>
      </c>
      <c r="N18" s="2">
        <v>626.4</v>
      </c>
      <c r="O18" s="2" t="s">
        <v>121</v>
      </c>
      <c r="P18" t="s">
        <v>311</v>
      </c>
      <c r="Q18" t="s">
        <v>312</v>
      </c>
      <c r="R18" t="s">
        <v>313</v>
      </c>
      <c r="S18" t="s">
        <v>314</v>
      </c>
      <c r="T18" t="s">
        <v>273</v>
      </c>
      <c r="U18">
        <v>10.309333333333329</v>
      </c>
      <c r="V18" s="2" t="s">
        <v>118</v>
      </c>
      <c r="W18" t="s">
        <v>212</v>
      </c>
      <c r="X18" t="s">
        <v>213</v>
      </c>
      <c r="Y18" t="s">
        <v>396</v>
      </c>
      <c r="Z18" s="9" t="s">
        <v>395</v>
      </c>
      <c r="AA18"/>
      <c r="AB18" s="4">
        <v>8</v>
      </c>
      <c r="AC18" t="s">
        <v>235</v>
      </c>
      <c r="AD18" t="str">
        <f t="shared" si="0"/>
        <v>8-10</v>
      </c>
      <c r="AE18" t="str">
        <f t="shared" si="1"/>
        <v>8-10</v>
      </c>
      <c r="AF18" s="5" t="s">
        <v>263</v>
      </c>
      <c r="AG18" s="5">
        <v>1001</v>
      </c>
      <c r="AH18" s="3">
        <v>0.82</v>
      </c>
      <c r="AI18" s="3">
        <v>0.37</v>
      </c>
      <c r="AJ18" s="3">
        <v>0.55833333333333324</v>
      </c>
      <c r="AK18" s="3" t="s">
        <v>456</v>
      </c>
      <c r="AL18" t="s">
        <v>366</v>
      </c>
      <c r="AM18" t="s">
        <v>417</v>
      </c>
      <c r="AN18" t="s">
        <v>419</v>
      </c>
      <c r="AP18" t="s">
        <v>121</v>
      </c>
      <c r="AQ18" s="2">
        <v>0</v>
      </c>
      <c r="AR18" s="2">
        <v>1</v>
      </c>
      <c r="AS18" s="2">
        <v>0</v>
      </c>
      <c r="AT18" s="2">
        <v>1</v>
      </c>
      <c r="AU18" s="2">
        <v>0</v>
      </c>
      <c r="AV18" s="2">
        <v>0.4</v>
      </c>
      <c r="AW18" s="2">
        <v>1</v>
      </c>
      <c r="AX18" s="2">
        <v>0</v>
      </c>
      <c r="AY18" s="2">
        <v>0.5</v>
      </c>
      <c r="AZ18" s="2">
        <v>0</v>
      </c>
      <c r="BA18" s="2">
        <v>1</v>
      </c>
      <c r="BB18" s="2">
        <v>0</v>
      </c>
      <c r="BC18" s="2">
        <v>0.33333333333333331</v>
      </c>
      <c r="BD18" s="2">
        <v>1</v>
      </c>
      <c r="BE18" s="2">
        <v>0</v>
      </c>
      <c r="BF18" s="2">
        <v>1</v>
      </c>
      <c r="BG18" s="2">
        <v>0.66666666666666663</v>
      </c>
      <c r="BH18" s="2">
        <v>1</v>
      </c>
      <c r="BI18" s="2">
        <v>1</v>
      </c>
      <c r="BJ18" s="2">
        <v>0</v>
      </c>
      <c r="BK18" s="2">
        <v>1</v>
      </c>
      <c r="BL18" s="2">
        <v>0</v>
      </c>
      <c r="BM18" s="2">
        <v>0</v>
      </c>
      <c r="BN18" s="2">
        <v>1</v>
      </c>
      <c r="BO18" s="2">
        <v>1</v>
      </c>
      <c r="BP18" s="2">
        <v>0</v>
      </c>
      <c r="BQ18" s="2">
        <v>0</v>
      </c>
      <c r="BR18" s="2">
        <v>0</v>
      </c>
      <c r="BS18" s="2">
        <v>0</v>
      </c>
      <c r="BT18" s="2">
        <v>1</v>
      </c>
      <c r="BU18" s="2">
        <v>0</v>
      </c>
      <c r="BV18" s="2">
        <v>0</v>
      </c>
      <c r="BW18" s="2">
        <v>0</v>
      </c>
      <c r="BX18" s="2">
        <v>0</v>
      </c>
      <c r="BY18" s="2">
        <v>0</v>
      </c>
      <c r="BZ18" s="2">
        <v>0</v>
      </c>
      <c r="CA18">
        <v>0</v>
      </c>
      <c r="CB18" s="2" t="s">
        <v>463</v>
      </c>
    </row>
    <row r="19" spans="1:82" x14ac:dyDescent="0.35">
      <c r="A19" t="s">
        <v>122</v>
      </c>
      <c r="B19" s="11">
        <v>46031</v>
      </c>
      <c r="C19">
        <v>3</v>
      </c>
      <c r="D19" t="s">
        <v>123</v>
      </c>
      <c r="E19" t="s">
        <v>124</v>
      </c>
      <c r="F19" t="s">
        <v>125</v>
      </c>
      <c r="M19">
        <v>6</v>
      </c>
      <c r="N19">
        <v>311.68</v>
      </c>
      <c r="O19" t="s">
        <v>126</v>
      </c>
      <c r="P19" t="s">
        <v>315</v>
      </c>
      <c r="Q19" t="s">
        <v>316</v>
      </c>
      <c r="R19" t="s">
        <v>317</v>
      </c>
      <c r="S19" t="s">
        <v>318</v>
      </c>
      <c r="T19" t="s">
        <v>280</v>
      </c>
      <c r="U19">
        <v>5.0946666666666669</v>
      </c>
      <c r="V19" t="s">
        <v>123</v>
      </c>
      <c r="W19" t="s">
        <v>194</v>
      </c>
      <c r="X19" t="s">
        <v>214</v>
      </c>
      <c r="Y19" t="s">
        <v>396</v>
      </c>
      <c r="Z19" s="9" t="s">
        <v>395</v>
      </c>
      <c r="AB19" s="4">
        <v>8</v>
      </c>
      <c r="AC19" t="s">
        <v>389</v>
      </c>
      <c r="AD19" t="str">
        <f t="shared" si="0"/>
        <v>8-10</v>
      </c>
      <c r="AE19" t="str">
        <f t="shared" si="1"/>
        <v>8-10</v>
      </c>
      <c r="AF19" s="7" t="s">
        <v>401</v>
      </c>
      <c r="AG19" s="7">
        <v>1002</v>
      </c>
      <c r="AH19" s="3">
        <v>0.82</v>
      </c>
      <c r="AI19" s="3">
        <v>0.15</v>
      </c>
      <c r="AJ19" s="3">
        <v>0.68388888888888888</v>
      </c>
      <c r="AK19" s="3" t="s">
        <v>456</v>
      </c>
      <c r="AL19" t="s">
        <v>367</v>
      </c>
      <c r="AM19" t="s">
        <v>417</v>
      </c>
      <c r="AN19" t="s">
        <v>419</v>
      </c>
      <c r="AP19" t="s">
        <v>108</v>
      </c>
      <c r="AQ19" s="2">
        <v>0</v>
      </c>
      <c r="AR19" s="2">
        <v>1</v>
      </c>
      <c r="AS19" s="2">
        <v>1</v>
      </c>
      <c r="AT19" s="2">
        <v>1</v>
      </c>
      <c r="AU19" s="2">
        <v>0</v>
      </c>
      <c r="AV19" s="2">
        <v>0.6</v>
      </c>
      <c r="AW19" s="2">
        <v>1</v>
      </c>
      <c r="AX19" s="2">
        <v>0</v>
      </c>
      <c r="AY19" s="2">
        <v>0.5</v>
      </c>
      <c r="AZ19" s="2">
        <v>0</v>
      </c>
      <c r="BA19" s="2">
        <v>0</v>
      </c>
      <c r="BB19" s="2">
        <v>1</v>
      </c>
      <c r="BC19" s="2">
        <v>0.33333333333333331</v>
      </c>
      <c r="BD19" s="2">
        <v>1</v>
      </c>
      <c r="BE19" s="2">
        <v>1</v>
      </c>
      <c r="BF19" s="2">
        <v>1</v>
      </c>
      <c r="BG19" s="2">
        <v>1</v>
      </c>
      <c r="BH19" s="2">
        <v>1</v>
      </c>
      <c r="BI19" s="2">
        <v>1</v>
      </c>
      <c r="BJ19" s="2">
        <v>0</v>
      </c>
      <c r="BK19" s="2">
        <v>1</v>
      </c>
      <c r="BL19" s="2">
        <v>0</v>
      </c>
      <c r="BM19" s="2">
        <v>1</v>
      </c>
      <c r="BN19" s="2">
        <v>0</v>
      </c>
      <c r="BO19" s="2">
        <v>0</v>
      </c>
      <c r="BP19" s="2">
        <v>0</v>
      </c>
      <c r="BQ19" s="2">
        <v>0</v>
      </c>
      <c r="BR19" s="2">
        <v>0</v>
      </c>
      <c r="BS19" s="2">
        <v>0</v>
      </c>
      <c r="BT19" s="2">
        <v>1</v>
      </c>
      <c r="BU19" s="2">
        <v>0</v>
      </c>
      <c r="BV19" s="2">
        <v>0</v>
      </c>
      <c r="BW19" s="2">
        <v>0</v>
      </c>
      <c r="BX19" s="2">
        <v>0</v>
      </c>
      <c r="BY19" s="2">
        <v>0</v>
      </c>
      <c r="BZ19" s="2">
        <v>0</v>
      </c>
      <c r="CA19">
        <v>1</v>
      </c>
      <c r="CB19" t="s">
        <v>462</v>
      </c>
      <c r="CC19" t="s">
        <v>468</v>
      </c>
    </row>
    <row r="20" spans="1:82" x14ac:dyDescent="0.35">
      <c r="A20" t="s">
        <v>127</v>
      </c>
      <c r="B20" s="11">
        <v>46031</v>
      </c>
      <c r="C20">
        <v>4</v>
      </c>
      <c r="D20" t="s">
        <v>128</v>
      </c>
      <c r="E20" t="s">
        <v>129</v>
      </c>
      <c r="F20" t="s">
        <v>130</v>
      </c>
      <c r="G20" t="s">
        <v>131</v>
      </c>
      <c r="H20" t="s">
        <v>132</v>
      </c>
      <c r="M20">
        <v>6.24</v>
      </c>
      <c r="N20">
        <v>326.32</v>
      </c>
      <c r="O20" t="s">
        <v>133</v>
      </c>
      <c r="P20" t="s">
        <v>319</v>
      </c>
      <c r="Q20" t="s">
        <v>303</v>
      </c>
      <c r="R20" t="s">
        <v>320</v>
      </c>
      <c r="S20" t="s">
        <v>303</v>
      </c>
      <c r="T20" t="s">
        <v>285</v>
      </c>
      <c r="U20">
        <v>5.3346666666666662</v>
      </c>
      <c r="V20" t="s">
        <v>128</v>
      </c>
      <c r="W20" t="s">
        <v>398</v>
      </c>
      <c r="X20" t="s">
        <v>215</v>
      </c>
      <c r="Y20" t="s">
        <v>404</v>
      </c>
      <c r="Z20" s="9" t="s">
        <v>407</v>
      </c>
      <c r="AA20" t="s">
        <v>236</v>
      </c>
      <c r="AB20" s="4">
        <v>4</v>
      </c>
      <c r="AC20" t="s">
        <v>390</v>
      </c>
      <c r="AD20" t="str">
        <f t="shared" si="0"/>
        <v>4-7</v>
      </c>
      <c r="AE20" t="str">
        <f t="shared" si="1"/>
        <v>1-5</v>
      </c>
      <c r="AF20" s="7" t="s">
        <v>401</v>
      </c>
      <c r="AG20" s="7">
        <v>1002</v>
      </c>
      <c r="AH20" s="3">
        <v>0.87</v>
      </c>
      <c r="AI20" s="3">
        <v>0.38</v>
      </c>
      <c r="AJ20" s="3">
        <v>0.59833333333333327</v>
      </c>
      <c r="AK20" s="3" t="s">
        <v>456</v>
      </c>
      <c r="AL20" t="s">
        <v>368</v>
      </c>
      <c r="AM20" t="s">
        <v>417</v>
      </c>
      <c r="AN20" t="s">
        <v>420</v>
      </c>
      <c r="AP20" t="s">
        <v>91</v>
      </c>
      <c r="AQ20">
        <v>0</v>
      </c>
      <c r="AR20">
        <v>1</v>
      </c>
      <c r="AS20">
        <v>1</v>
      </c>
      <c r="AT20">
        <v>1</v>
      </c>
      <c r="AU20">
        <v>0</v>
      </c>
      <c r="AV20">
        <v>0.6</v>
      </c>
      <c r="AW20">
        <v>1</v>
      </c>
      <c r="AX20">
        <v>0</v>
      </c>
      <c r="AY20">
        <v>0.5</v>
      </c>
      <c r="AZ20">
        <v>0</v>
      </c>
      <c r="BA20">
        <v>0</v>
      </c>
      <c r="BB20">
        <v>1</v>
      </c>
      <c r="BC20">
        <v>0.33333333333333331</v>
      </c>
      <c r="BD20">
        <v>1</v>
      </c>
      <c r="BE20">
        <v>0</v>
      </c>
      <c r="BF20">
        <v>1</v>
      </c>
      <c r="BG20">
        <v>0.66666666666666663</v>
      </c>
      <c r="BH20">
        <v>1</v>
      </c>
      <c r="BI20">
        <v>1</v>
      </c>
      <c r="BJ20">
        <v>0</v>
      </c>
      <c r="BK20">
        <v>0</v>
      </c>
      <c r="BL20">
        <v>1</v>
      </c>
      <c r="BM20">
        <v>1</v>
      </c>
      <c r="BN20">
        <v>0</v>
      </c>
      <c r="BO20">
        <v>0</v>
      </c>
      <c r="BP20">
        <v>0</v>
      </c>
      <c r="BQ20">
        <v>0</v>
      </c>
      <c r="BR20">
        <v>0</v>
      </c>
      <c r="BS20">
        <v>0</v>
      </c>
      <c r="BT20">
        <v>1</v>
      </c>
      <c r="BU20">
        <v>0</v>
      </c>
      <c r="BV20">
        <v>0</v>
      </c>
      <c r="BW20">
        <v>0</v>
      </c>
      <c r="BX20">
        <v>0</v>
      </c>
      <c r="BY20">
        <v>0</v>
      </c>
      <c r="BZ20">
        <v>0</v>
      </c>
      <c r="CA20">
        <v>1</v>
      </c>
      <c r="CB20" t="s">
        <v>462</v>
      </c>
      <c r="CD20" t="s">
        <v>469</v>
      </c>
    </row>
    <row r="21" spans="1:82" ht="29" x14ac:dyDescent="0.35">
      <c r="A21" t="s">
        <v>134</v>
      </c>
      <c r="B21" s="11">
        <v>46037</v>
      </c>
      <c r="C21">
        <v>3</v>
      </c>
      <c r="D21" t="s">
        <v>135</v>
      </c>
      <c r="E21" t="s">
        <v>136</v>
      </c>
      <c r="F21" t="s">
        <v>137</v>
      </c>
      <c r="G21" t="s">
        <v>138</v>
      </c>
      <c r="H21" t="s">
        <v>139</v>
      </c>
      <c r="M21">
        <v>5.84</v>
      </c>
      <c r="N21">
        <v>602.79999999999995</v>
      </c>
      <c r="O21" t="s">
        <v>140</v>
      </c>
      <c r="P21" t="s">
        <v>323</v>
      </c>
      <c r="Q21" t="s">
        <v>316</v>
      </c>
      <c r="R21" t="s">
        <v>324</v>
      </c>
      <c r="S21" t="s">
        <v>318</v>
      </c>
      <c r="T21" t="s">
        <v>280</v>
      </c>
      <c r="U21">
        <v>9.9493333333333318</v>
      </c>
      <c r="V21" t="s">
        <v>135</v>
      </c>
      <c r="W21" t="s">
        <v>398</v>
      </c>
      <c r="X21" t="s">
        <v>216</v>
      </c>
      <c r="Y21" t="s">
        <v>403</v>
      </c>
      <c r="Z21" s="9" t="s">
        <v>413</v>
      </c>
      <c r="AA21" t="s">
        <v>237</v>
      </c>
      <c r="AB21" s="4">
        <v>2</v>
      </c>
      <c r="AC21" t="s">
        <v>238</v>
      </c>
      <c r="AD21" t="str">
        <f t="shared" si="0"/>
        <v>1-3</v>
      </c>
      <c r="AE21" t="str">
        <f t="shared" si="1"/>
        <v>1-5</v>
      </c>
      <c r="AF21" s="7" t="s">
        <v>401</v>
      </c>
      <c r="AG21" s="7">
        <v>1002</v>
      </c>
      <c r="AH21" s="3">
        <v>0.83</v>
      </c>
      <c r="AI21" s="3">
        <v>0.39</v>
      </c>
      <c r="AJ21" s="3">
        <v>0.67888888888888888</v>
      </c>
      <c r="AK21" s="3" t="s">
        <v>456</v>
      </c>
      <c r="AL21" t="s">
        <v>369</v>
      </c>
      <c r="AM21" t="s">
        <v>417</v>
      </c>
      <c r="AN21" t="s">
        <v>421</v>
      </c>
      <c r="AP21" t="s">
        <v>140</v>
      </c>
      <c r="AQ21">
        <v>1</v>
      </c>
      <c r="AR21">
        <v>1</v>
      </c>
      <c r="AS21">
        <v>1</v>
      </c>
      <c r="AT21">
        <v>1</v>
      </c>
      <c r="AU21">
        <v>0</v>
      </c>
      <c r="AV21">
        <v>0.8</v>
      </c>
      <c r="AW21">
        <v>0</v>
      </c>
      <c r="AX21">
        <v>1</v>
      </c>
      <c r="AY21">
        <v>0.5</v>
      </c>
      <c r="AZ21">
        <v>0</v>
      </c>
      <c r="BA21">
        <v>1</v>
      </c>
      <c r="BB21">
        <v>1</v>
      </c>
      <c r="BC21">
        <v>0.66666666666666663</v>
      </c>
      <c r="BD21">
        <v>1</v>
      </c>
      <c r="BE21">
        <v>0</v>
      </c>
      <c r="BF21">
        <v>1</v>
      </c>
      <c r="BG21">
        <v>0.66666666666666663</v>
      </c>
      <c r="BH21">
        <v>1</v>
      </c>
      <c r="BI21">
        <v>1</v>
      </c>
      <c r="BJ21">
        <v>1</v>
      </c>
      <c r="BK21">
        <v>1</v>
      </c>
      <c r="BL21">
        <v>0</v>
      </c>
      <c r="BM21">
        <v>0</v>
      </c>
      <c r="BN21">
        <v>0</v>
      </c>
      <c r="BO21">
        <v>0</v>
      </c>
      <c r="BP21">
        <v>0</v>
      </c>
      <c r="BQ21">
        <v>0</v>
      </c>
      <c r="BR21">
        <v>0</v>
      </c>
      <c r="BS21">
        <v>0</v>
      </c>
      <c r="BT21">
        <v>1</v>
      </c>
      <c r="BU21">
        <v>0</v>
      </c>
      <c r="BV21">
        <v>0</v>
      </c>
      <c r="BW21">
        <v>0</v>
      </c>
      <c r="BX21">
        <v>0</v>
      </c>
      <c r="BY21">
        <v>0</v>
      </c>
      <c r="BZ21">
        <v>0</v>
      </c>
      <c r="CA21">
        <v>1</v>
      </c>
      <c r="CB21" t="s">
        <v>462</v>
      </c>
      <c r="CC21" t="s">
        <v>470</v>
      </c>
    </row>
    <row r="22" spans="1:82" hidden="1" x14ac:dyDescent="0.35">
      <c r="A22" t="s">
        <v>141</v>
      </c>
      <c r="B22" s="11">
        <v>46044</v>
      </c>
      <c r="C22">
        <v>21</v>
      </c>
      <c r="D22" t="s">
        <v>142</v>
      </c>
      <c r="E22" t="s">
        <v>143</v>
      </c>
      <c r="F22" t="s">
        <v>144</v>
      </c>
      <c r="G22" t="s">
        <v>145</v>
      </c>
      <c r="H22" t="s">
        <v>146</v>
      </c>
      <c r="M22">
        <v>0.08</v>
      </c>
      <c r="N22">
        <v>319.27999999999997</v>
      </c>
      <c r="O22" t="s">
        <v>147</v>
      </c>
      <c r="P22" t="s">
        <v>325</v>
      </c>
      <c r="Q22" t="s">
        <v>289</v>
      </c>
      <c r="R22" t="s">
        <v>326</v>
      </c>
      <c r="S22" t="s">
        <v>291</v>
      </c>
      <c r="T22" t="s">
        <v>280</v>
      </c>
      <c r="U22">
        <v>5.3199999999999994</v>
      </c>
      <c r="V22" t="s">
        <v>142</v>
      </c>
      <c r="W22" t="s">
        <v>194</v>
      </c>
      <c r="X22" t="s">
        <v>217</v>
      </c>
      <c r="Y22" t="s">
        <v>396</v>
      </c>
      <c r="Z22" s="9" t="s">
        <v>395</v>
      </c>
      <c r="AB22" s="4">
        <v>8</v>
      </c>
      <c r="AC22" t="s">
        <v>391</v>
      </c>
      <c r="AD22" t="str">
        <f t="shared" si="0"/>
        <v>8-10</v>
      </c>
      <c r="AE22" t="str">
        <f t="shared" si="1"/>
        <v>8-10</v>
      </c>
      <c r="AF22" s="6" t="s">
        <v>402</v>
      </c>
      <c r="AG22" s="6">
        <v>1001</v>
      </c>
      <c r="AH22" s="3">
        <v>0.74</v>
      </c>
      <c r="AI22" s="3">
        <v>0.37</v>
      </c>
      <c r="AJ22" s="3">
        <v>0.77277777777777779</v>
      </c>
      <c r="AK22" s="3" t="s">
        <v>458</v>
      </c>
      <c r="AL22" t="s">
        <v>370</v>
      </c>
      <c r="AM22" t="s">
        <v>417</v>
      </c>
      <c r="AN22" t="s">
        <v>419</v>
      </c>
      <c r="AP22" t="s">
        <v>191</v>
      </c>
      <c r="AQ22">
        <v>0</v>
      </c>
      <c r="AR22">
        <v>1</v>
      </c>
      <c r="AS22">
        <v>1</v>
      </c>
      <c r="AT22">
        <v>1</v>
      </c>
      <c r="AU22">
        <v>0</v>
      </c>
      <c r="AV22">
        <v>0.6</v>
      </c>
      <c r="AW22">
        <v>1</v>
      </c>
      <c r="AX22">
        <v>1</v>
      </c>
      <c r="AY22">
        <v>1</v>
      </c>
      <c r="AZ22">
        <v>1</v>
      </c>
      <c r="BA22">
        <v>0</v>
      </c>
      <c r="BB22">
        <v>1</v>
      </c>
      <c r="BC22">
        <v>0.66666666666666663</v>
      </c>
      <c r="BD22">
        <v>1</v>
      </c>
      <c r="BE22">
        <v>1</v>
      </c>
      <c r="BF22">
        <v>1</v>
      </c>
      <c r="BG22">
        <v>1</v>
      </c>
      <c r="BH22">
        <v>1</v>
      </c>
      <c r="BI22">
        <v>1</v>
      </c>
      <c r="BJ22">
        <v>0</v>
      </c>
      <c r="BK22">
        <v>1</v>
      </c>
      <c r="BL22">
        <v>1</v>
      </c>
      <c r="BM22">
        <v>1</v>
      </c>
      <c r="BN22">
        <v>0</v>
      </c>
      <c r="BO22">
        <v>0</v>
      </c>
      <c r="BP22">
        <v>0</v>
      </c>
      <c r="BQ22">
        <v>0</v>
      </c>
      <c r="BR22">
        <v>0</v>
      </c>
      <c r="BS22">
        <v>0</v>
      </c>
      <c r="BT22">
        <v>1</v>
      </c>
      <c r="BU22">
        <v>0</v>
      </c>
      <c r="BV22">
        <v>1</v>
      </c>
      <c r="BW22">
        <v>1</v>
      </c>
      <c r="BX22">
        <v>1</v>
      </c>
      <c r="BY22">
        <v>0</v>
      </c>
      <c r="BZ22">
        <v>0</v>
      </c>
      <c r="CA22">
        <v>0</v>
      </c>
      <c r="CB22" t="s">
        <v>463</v>
      </c>
    </row>
    <row r="23" spans="1:82" hidden="1" x14ac:dyDescent="0.35">
      <c r="A23" t="s">
        <v>148</v>
      </c>
      <c r="B23" s="11">
        <v>46043</v>
      </c>
      <c r="C23">
        <v>22</v>
      </c>
      <c r="D23" t="s">
        <v>149</v>
      </c>
      <c r="E23" t="s">
        <v>150</v>
      </c>
      <c r="F23" t="s">
        <v>151</v>
      </c>
      <c r="G23" t="s">
        <v>152</v>
      </c>
      <c r="H23" t="s">
        <v>153</v>
      </c>
      <c r="M23">
        <v>5.28</v>
      </c>
      <c r="N23">
        <v>366.32</v>
      </c>
      <c r="O23" t="s">
        <v>154</v>
      </c>
      <c r="P23" t="s">
        <v>327</v>
      </c>
      <c r="Q23" t="s">
        <v>328</v>
      </c>
      <c r="R23" t="s">
        <v>329</v>
      </c>
      <c r="S23" t="s">
        <v>284</v>
      </c>
      <c r="T23" t="s">
        <v>285</v>
      </c>
      <c r="U23">
        <v>6.0173333333333341</v>
      </c>
      <c r="V23" t="s">
        <v>149</v>
      </c>
      <c r="W23" t="s">
        <v>192</v>
      </c>
      <c r="X23" t="s">
        <v>218</v>
      </c>
      <c r="Y23" t="s">
        <v>405</v>
      </c>
      <c r="Z23" s="9" t="s">
        <v>408</v>
      </c>
      <c r="AA23" t="s">
        <v>239</v>
      </c>
      <c r="AB23" s="4">
        <v>7</v>
      </c>
      <c r="AC23" t="s">
        <v>240</v>
      </c>
      <c r="AD23" t="str">
        <f t="shared" si="0"/>
        <v>4-7</v>
      </c>
      <c r="AE23" t="str">
        <f t="shared" si="1"/>
        <v>6-7</v>
      </c>
      <c r="AF23" s="6" t="s">
        <v>402</v>
      </c>
      <c r="AG23" s="6">
        <v>1001</v>
      </c>
      <c r="AH23" s="3">
        <v>0.81</v>
      </c>
      <c r="AI23" s="3">
        <v>0.27</v>
      </c>
      <c r="AJ23" s="3">
        <v>0.65666666666666662</v>
      </c>
      <c r="AK23" s="3" t="s">
        <v>456</v>
      </c>
      <c r="AL23" t="s">
        <v>371</v>
      </c>
      <c r="AM23" t="s">
        <v>417</v>
      </c>
      <c r="AN23" t="s">
        <v>420</v>
      </c>
      <c r="AP23" t="s">
        <v>154</v>
      </c>
      <c r="AQ23">
        <v>0</v>
      </c>
      <c r="AR23">
        <v>0</v>
      </c>
      <c r="AS23">
        <v>0</v>
      </c>
      <c r="AT23">
        <v>1</v>
      </c>
      <c r="AU23">
        <v>1</v>
      </c>
      <c r="AV23">
        <v>0.4</v>
      </c>
      <c r="AW23">
        <v>1</v>
      </c>
      <c r="AX23">
        <v>1</v>
      </c>
      <c r="AY23">
        <v>1</v>
      </c>
      <c r="AZ23">
        <v>0</v>
      </c>
      <c r="BA23">
        <v>0</v>
      </c>
      <c r="BB23">
        <v>1</v>
      </c>
      <c r="BC23">
        <v>0.33333333333333331</v>
      </c>
      <c r="BD23">
        <v>1</v>
      </c>
      <c r="BE23">
        <v>0</v>
      </c>
      <c r="BF23">
        <v>1</v>
      </c>
      <c r="BG23">
        <v>0.66666666666666663</v>
      </c>
      <c r="BH23">
        <v>1</v>
      </c>
      <c r="BI23">
        <v>1</v>
      </c>
      <c r="BJ23">
        <v>1</v>
      </c>
      <c r="BK23">
        <v>0</v>
      </c>
      <c r="BL23">
        <v>1</v>
      </c>
      <c r="BM23">
        <v>1</v>
      </c>
      <c r="BN23">
        <v>0</v>
      </c>
      <c r="BO23">
        <v>0</v>
      </c>
      <c r="BP23">
        <v>0</v>
      </c>
      <c r="BQ23">
        <v>0</v>
      </c>
      <c r="BR23">
        <v>0</v>
      </c>
      <c r="BS23">
        <v>0</v>
      </c>
      <c r="BT23">
        <v>0</v>
      </c>
      <c r="BU23">
        <v>0</v>
      </c>
      <c r="BV23">
        <v>0</v>
      </c>
      <c r="BW23">
        <v>0</v>
      </c>
      <c r="BX23">
        <v>0</v>
      </c>
      <c r="BY23">
        <v>0</v>
      </c>
      <c r="BZ23">
        <v>0</v>
      </c>
      <c r="CA23">
        <v>0</v>
      </c>
      <c r="CB23" t="s">
        <v>463</v>
      </c>
    </row>
    <row r="24" spans="1:82" x14ac:dyDescent="0.35">
      <c r="A24" t="s">
        <v>155</v>
      </c>
      <c r="B24" s="11">
        <v>46029</v>
      </c>
      <c r="C24">
        <v>5</v>
      </c>
      <c r="D24" t="s">
        <v>156</v>
      </c>
      <c r="E24" t="s">
        <v>116</v>
      </c>
      <c r="F24" t="s">
        <v>157</v>
      </c>
      <c r="G24" t="s">
        <v>158</v>
      </c>
      <c r="H24" t="s">
        <v>159</v>
      </c>
      <c r="M24">
        <v>9.0399999999999991</v>
      </c>
      <c r="N24">
        <v>326.64</v>
      </c>
      <c r="O24" t="s">
        <v>160</v>
      </c>
      <c r="P24" t="s">
        <v>330</v>
      </c>
      <c r="Q24" t="s">
        <v>321</v>
      </c>
      <c r="R24" t="s">
        <v>331</v>
      </c>
      <c r="S24" t="s">
        <v>322</v>
      </c>
      <c r="T24" t="s">
        <v>273</v>
      </c>
      <c r="U24">
        <v>5.293333333333333</v>
      </c>
      <c r="V24" t="s">
        <v>156</v>
      </c>
      <c r="W24" t="s">
        <v>194</v>
      </c>
      <c r="X24" t="s">
        <v>219</v>
      </c>
      <c r="Y24" t="s">
        <v>396</v>
      </c>
      <c r="Z24" s="9" t="s">
        <v>395</v>
      </c>
      <c r="AB24" s="4">
        <v>8</v>
      </c>
      <c r="AC24" t="s">
        <v>392</v>
      </c>
      <c r="AD24" t="str">
        <f t="shared" si="0"/>
        <v>8-10</v>
      </c>
      <c r="AE24" t="str">
        <f t="shared" si="1"/>
        <v>8-10</v>
      </c>
      <c r="AF24" s="6" t="s">
        <v>402</v>
      </c>
      <c r="AG24" s="6">
        <v>1001</v>
      </c>
      <c r="AH24" s="3">
        <v>0.55000000000000004</v>
      </c>
      <c r="AI24" s="3">
        <v>0.15</v>
      </c>
      <c r="AJ24" s="3">
        <v>0.57777777777777783</v>
      </c>
      <c r="AK24" s="3" t="s">
        <v>456</v>
      </c>
      <c r="AL24" t="s">
        <v>372</v>
      </c>
      <c r="AM24" t="s">
        <v>417</v>
      </c>
      <c r="AN24" t="s">
        <v>419</v>
      </c>
      <c r="AP24" t="s">
        <v>190</v>
      </c>
      <c r="AQ24">
        <v>0</v>
      </c>
      <c r="AR24">
        <v>1</v>
      </c>
      <c r="AS24">
        <v>0</v>
      </c>
      <c r="AT24">
        <v>1</v>
      </c>
      <c r="AU24">
        <v>0</v>
      </c>
      <c r="AV24">
        <v>0.4</v>
      </c>
      <c r="AW24">
        <v>1</v>
      </c>
      <c r="AX24">
        <v>1</v>
      </c>
      <c r="AY24">
        <v>1</v>
      </c>
      <c r="AZ24">
        <v>0</v>
      </c>
      <c r="BA24">
        <v>0</v>
      </c>
      <c r="BB24">
        <v>0</v>
      </c>
      <c r="BC24">
        <v>0</v>
      </c>
      <c r="BD24">
        <v>1</v>
      </c>
      <c r="BE24">
        <v>0</v>
      </c>
      <c r="BF24">
        <v>1</v>
      </c>
      <c r="BG24">
        <v>0.66666666666666663</v>
      </c>
      <c r="BH24">
        <v>1</v>
      </c>
      <c r="BI24">
        <v>1</v>
      </c>
      <c r="BJ24">
        <v>0</v>
      </c>
      <c r="BK24">
        <v>1</v>
      </c>
      <c r="BL24">
        <v>1</v>
      </c>
      <c r="BM24">
        <v>0</v>
      </c>
      <c r="BN24">
        <v>0</v>
      </c>
      <c r="BO24">
        <v>0</v>
      </c>
      <c r="BP24">
        <v>0</v>
      </c>
      <c r="BQ24">
        <v>0</v>
      </c>
      <c r="BR24">
        <v>0</v>
      </c>
      <c r="BS24">
        <v>0</v>
      </c>
      <c r="BT24">
        <v>1</v>
      </c>
      <c r="BU24">
        <v>0</v>
      </c>
      <c r="BV24">
        <v>0</v>
      </c>
      <c r="BW24">
        <v>0</v>
      </c>
      <c r="BX24">
        <v>0</v>
      </c>
      <c r="BY24">
        <v>0</v>
      </c>
      <c r="BZ24">
        <v>0</v>
      </c>
      <c r="CA24">
        <v>1</v>
      </c>
      <c r="CB24" t="s">
        <v>463</v>
      </c>
    </row>
    <row r="25" spans="1:82" ht="43.5" x14ac:dyDescent="0.35">
      <c r="A25" t="s">
        <v>161</v>
      </c>
      <c r="B25" s="11">
        <v>46039</v>
      </c>
      <c r="C25">
        <v>4</v>
      </c>
      <c r="D25" t="s">
        <v>162</v>
      </c>
      <c r="E25" t="s">
        <v>163</v>
      </c>
      <c r="F25" t="s">
        <v>164</v>
      </c>
      <c r="G25" t="s">
        <v>165</v>
      </c>
      <c r="H25" t="s">
        <v>166</v>
      </c>
      <c r="M25">
        <v>8</v>
      </c>
      <c r="N25">
        <v>361.2</v>
      </c>
      <c r="O25" t="s">
        <v>167</v>
      </c>
      <c r="P25" t="s">
        <v>332</v>
      </c>
      <c r="Q25" t="s">
        <v>303</v>
      </c>
      <c r="R25" t="s">
        <v>333</v>
      </c>
      <c r="S25" t="s">
        <v>303</v>
      </c>
      <c r="T25" t="s">
        <v>285</v>
      </c>
      <c r="U25">
        <v>5.8866666666666667</v>
      </c>
      <c r="V25" t="s">
        <v>162</v>
      </c>
      <c r="W25" t="s">
        <v>398</v>
      </c>
      <c r="X25" t="s">
        <v>220</v>
      </c>
      <c r="Y25" t="s">
        <v>403</v>
      </c>
      <c r="Z25" s="9" t="s">
        <v>414</v>
      </c>
      <c r="AA25" t="s">
        <v>241</v>
      </c>
      <c r="AB25" s="4">
        <v>2</v>
      </c>
      <c r="AC25" t="s">
        <v>393</v>
      </c>
      <c r="AD25" t="str">
        <f t="shared" si="0"/>
        <v>1-3</v>
      </c>
      <c r="AE25" t="str">
        <f t="shared" si="1"/>
        <v>1-5</v>
      </c>
      <c r="AF25" s="6" t="s">
        <v>402</v>
      </c>
      <c r="AG25" s="6">
        <v>1001</v>
      </c>
      <c r="AH25" s="3">
        <v>0.63</v>
      </c>
      <c r="AI25" s="3">
        <v>0.12</v>
      </c>
      <c r="AJ25" s="3">
        <v>0.7961111111111111</v>
      </c>
      <c r="AK25" s="3" t="s">
        <v>458</v>
      </c>
      <c r="AL25" t="s">
        <v>373</v>
      </c>
      <c r="AM25" t="s">
        <v>417</v>
      </c>
      <c r="AN25" t="s">
        <v>421</v>
      </c>
      <c r="AP25" t="s">
        <v>191</v>
      </c>
      <c r="AQ25">
        <v>0</v>
      </c>
      <c r="AR25">
        <v>1</v>
      </c>
      <c r="AS25">
        <v>1</v>
      </c>
      <c r="AT25">
        <v>1</v>
      </c>
      <c r="AU25">
        <v>0</v>
      </c>
      <c r="AV25">
        <v>0.6</v>
      </c>
      <c r="AW25">
        <v>1</v>
      </c>
      <c r="AX25">
        <v>1</v>
      </c>
      <c r="AY25">
        <v>1</v>
      </c>
      <c r="AZ25">
        <v>1</v>
      </c>
      <c r="BA25">
        <v>0</v>
      </c>
      <c r="BB25">
        <v>1</v>
      </c>
      <c r="BC25">
        <v>0.66666666666666663</v>
      </c>
      <c r="BD25">
        <v>1</v>
      </c>
      <c r="BE25">
        <v>1</v>
      </c>
      <c r="BF25">
        <v>1</v>
      </c>
      <c r="BG25">
        <v>1</v>
      </c>
      <c r="BH25">
        <v>1</v>
      </c>
      <c r="BI25">
        <v>1</v>
      </c>
      <c r="BJ25">
        <v>0</v>
      </c>
      <c r="BK25">
        <v>1</v>
      </c>
      <c r="BL25">
        <v>1</v>
      </c>
      <c r="BM25">
        <v>1</v>
      </c>
      <c r="BN25">
        <v>0</v>
      </c>
      <c r="BO25">
        <v>0</v>
      </c>
      <c r="BP25">
        <v>0</v>
      </c>
      <c r="BQ25">
        <v>0</v>
      </c>
      <c r="BR25">
        <v>0</v>
      </c>
      <c r="BS25">
        <v>0</v>
      </c>
      <c r="BT25">
        <v>1</v>
      </c>
      <c r="BU25">
        <v>0</v>
      </c>
      <c r="BV25">
        <v>1</v>
      </c>
      <c r="BW25">
        <v>1</v>
      </c>
      <c r="BX25">
        <v>1</v>
      </c>
      <c r="BY25">
        <v>0</v>
      </c>
      <c r="BZ25">
        <v>0</v>
      </c>
      <c r="CA25">
        <v>1</v>
      </c>
      <c r="CB25" t="s">
        <v>462</v>
      </c>
      <c r="CC25" t="s">
        <v>471</v>
      </c>
    </row>
    <row r="26" spans="1:82" hidden="1" x14ac:dyDescent="0.35">
      <c r="A26" t="s">
        <v>168</v>
      </c>
      <c r="B26" s="11">
        <v>46045</v>
      </c>
      <c r="C26">
        <v>23</v>
      </c>
      <c r="D26" t="s">
        <v>169</v>
      </c>
      <c r="E26" t="s">
        <v>170</v>
      </c>
      <c r="F26" t="s">
        <v>171</v>
      </c>
      <c r="M26">
        <v>12.08</v>
      </c>
      <c r="N26">
        <v>600.08000000000004</v>
      </c>
      <c r="O26" t="s">
        <v>172</v>
      </c>
      <c r="P26" t="s">
        <v>334</v>
      </c>
      <c r="Q26" t="s">
        <v>335</v>
      </c>
      <c r="R26" t="s">
        <v>336</v>
      </c>
      <c r="S26" t="s">
        <v>337</v>
      </c>
      <c r="T26" t="s">
        <v>285</v>
      </c>
      <c r="U26">
        <v>9.8000000000000007</v>
      </c>
      <c r="V26" t="s">
        <v>169</v>
      </c>
      <c r="W26" t="s">
        <v>194</v>
      </c>
      <c r="X26" t="s">
        <v>221</v>
      </c>
      <c r="Y26" t="s">
        <v>396</v>
      </c>
      <c r="Z26" s="9" t="s">
        <v>395</v>
      </c>
      <c r="AB26" s="4">
        <v>8</v>
      </c>
      <c r="AC26" t="s">
        <v>242</v>
      </c>
      <c r="AD26" t="str">
        <f t="shared" si="0"/>
        <v>8-10</v>
      </c>
      <c r="AE26" t="str">
        <f t="shared" si="1"/>
        <v>8-10</v>
      </c>
      <c r="AF26" s="6" t="s">
        <v>402</v>
      </c>
      <c r="AG26" s="6">
        <v>1001</v>
      </c>
      <c r="AH26" s="3">
        <v>0.52</v>
      </c>
      <c r="AI26" s="3">
        <v>0.39</v>
      </c>
      <c r="AJ26" s="3">
        <v>0.42166666666666663</v>
      </c>
      <c r="AK26" s="3" t="s">
        <v>457</v>
      </c>
      <c r="AL26" t="s">
        <v>374</v>
      </c>
      <c r="AM26" t="s">
        <v>417</v>
      </c>
      <c r="AN26" t="s">
        <v>419</v>
      </c>
      <c r="AP26" t="s">
        <v>172</v>
      </c>
      <c r="AQ26">
        <v>0</v>
      </c>
      <c r="AR26">
        <v>1</v>
      </c>
      <c r="AS26">
        <v>0</v>
      </c>
      <c r="AT26">
        <v>1</v>
      </c>
      <c r="AU26">
        <v>0</v>
      </c>
      <c r="AV26">
        <v>0.4</v>
      </c>
      <c r="AW26">
        <v>0</v>
      </c>
      <c r="AX26">
        <v>0</v>
      </c>
      <c r="AY26">
        <v>0</v>
      </c>
      <c r="AZ26">
        <v>0</v>
      </c>
      <c r="BA26">
        <v>1</v>
      </c>
      <c r="BB26">
        <v>1</v>
      </c>
      <c r="BC26">
        <v>0.66666666666666663</v>
      </c>
      <c r="BD26">
        <v>0</v>
      </c>
      <c r="BE26">
        <v>0</v>
      </c>
      <c r="BF26">
        <v>1</v>
      </c>
      <c r="BG26">
        <v>0.33333333333333331</v>
      </c>
      <c r="BH26">
        <v>1</v>
      </c>
      <c r="BI26">
        <v>1</v>
      </c>
      <c r="BJ26">
        <v>0</v>
      </c>
      <c r="BK26">
        <v>1</v>
      </c>
      <c r="BL26">
        <v>0</v>
      </c>
      <c r="BM26">
        <v>1</v>
      </c>
      <c r="BN26">
        <v>1</v>
      </c>
      <c r="BO26">
        <v>1</v>
      </c>
      <c r="BP26">
        <v>0</v>
      </c>
      <c r="BQ26">
        <v>0</v>
      </c>
      <c r="BR26">
        <v>0</v>
      </c>
      <c r="BS26">
        <v>0</v>
      </c>
      <c r="BT26">
        <v>1</v>
      </c>
      <c r="BU26">
        <v>0</v>
      </c>
      <c r="BV26">
        <v>0</v>
      </c>
      <c r="BW26">
        <v>0</v>
      </c>
      <c r="BX26">
        <v>0</v>
      </c>
      <c r="BY26">
        <v>0</v>
      </c>
      <c r="BZ26">
        <v>0</v>
      </c>
      <c r="CA26">
        <v>0</v>
      </c>
      <c r="CB26" t="s">
        <v>463</v>
      </c>
    </row>
    <row r="27" spans="1:82" ht="29" hidden="1" x14ac:dyDescent="0.35">
      <c r="A27" t="s">
        <v>173</v>
      </c>
      <c r="B27" s="11">
        <v>46046</v>
      </c>
      <c r="C27">
        <v>24</v>
      </c>
      <c r="D27" t="s">
        <v>174</v>
      </c>
      <c r="E27" t="s">
        <v>175</v>
      </c>
      <c r="F27" t="s">
        <v>176</v>
      </c>
      <c r="G27" t="s">
        <v>177</v>
      </c>
      <c r="H27" t="s">
        <v>178</v>
      </c>
      <c r="M27">
        <v>4.96</v>
      </c>
      <c r="N27">
        <v>366.4</v>
      </c>
      <c r="O27" t="s">
        <v>179</v>
      </c>
      <c r="P27" t="s">
        <v>338</v>
      </c>
      <c r="Q27" t="s">
        <v>303</v>
      </c>
      <c r="R27" t="s">
        <v>339</v>
      </c>
      <c r="S27" t="s">
        <v>303</v>
      </c>
      <c r="T27" t="s">
        <v>285</v>
      </c>
      <c r="U27">
        <v>6.024</v>
      </c>
      <c r="V27" t="s">
        <v>174</v>
      </c>
      <c r="W27" t="s">
        <v>398</v>
      </c>
      <c r="X27" t="s">
        <v>222</v>
      </c>
      <c r="Y27" t="s">
        <v>404</v>
      </c>
      <c r="Z27" s="9" t="s">
        <v>415</v>
      </c>
      <c r="AA27" t="s">
        <v>243</v>
      </c>
      <c r="AB27" s="4">
        <v>2</v>
      </c>
      <c r="AC27" t="s">
        <v>244</v>
      </c>
      <c r="AD27" t="str">
        <f t="shared" si="0"/>
        <v>1-3</v>
      </c>
      <c r="AE27" t="str">
        <f t="shared" si="1"/>
        <v>1-5</v>
      </c>
      <c r="AF27" s="6" t="s">
        <v>402</v>
      </c>
      <c r="AG27" s="6">
        <v>1001</v>
      </c>
      <c r="AH27" s="3">
        <v>0.55000000000000004</v>
      </c>
      <c r="AI27" s="3">
        <v>0.17</v>
      </c>
      <c r="AJ27" s="3">
        <v>0.77444444444444438</v>
      </c>
      <c r="AK27" s="3" t="s">
        <v>458</v>
      </c>
      <c r="AL27" t="s">
        <v>375</v>
      </c>
      <c r="AM27" t="s">
        <v>417</v>
      </c>
      <c r="AN27" t="s">
        <v>421</v>
      </c>
      <c r="AP27" t="s">
        <v>179</v>
      </c>
      <c r="AQ27">
        <v>1</v>
      </c>
      <c r="AR27">
        <v>1</v>
      </c>
      <c r="AS27">
        <v>0</v>
      </c>
      <c r="AT27">
        <v>1</v>
      </c>
      <c r="AU27">
        <v>0</v>
      </c>
      <c r="AV27">
        <v>0.6</v>
      </c>
      <c r="AW27">
        <v>1</v>
      </c>
      <c r="AX27">
        <v>1</v>
      </c>
      <c r="AY27">
        <v>1</v>
      </c>
      <c r="AZ27">
        <v>0</v>
      </c>
      <c r="BA27">
        <v>1</v>
      </c>
      <c r="BB27">
        <v>1</v>
      </c>
      <c r="BC27">
        <v>0.66666666666666663</v>
      </c>
      <c r="BD27">
        <v>1</v>
      </c>
      <c r="BE27">
        <v>1</v>
      </c>
      <c r="BF27">
        <v>1</v>
      </c>
      <c r="BG27">
        <v>1</v>
      </c>
      <c r="BH27">
        <v>1</v>
      </c>
      <c r="BI27">
        <v>1</v>
      </c>
      <c r="BJ27">
        <v>0</v>
      </c>
      <c r="BK27">
        <v>0</v>
      </c>
      <c r="BL27">
        <v>1</v>
      </c>
      <c r="BM27">
        <v>1</v>
      </c>
      <c r="BN27">
        <v>0</v>
      </c>
      <c r="BO27">
        <v>0</v>
      </c>
      <c r="BP27">
        <v>0</v>
      </c>
      <c r="BQ27">
        <v>0</v>
      </c>
      <c r="BR27">
        <v>0</v>
      </c>
      <c r="BS27">
        <v>0</v>
      </c>
      <c r="BT27">
        <v>1</v>
      </c>
      <c r="BU27">
        <v>0</v>
      </c>
      <c r="BV27">
        <v>0</v>
      </c>
      <c r="BW27">
        <v>0</v>
      </c>
      <c r="BX27">
        <v>1</v>
      </c>
      <c r="BY27">
        <v>1</v>
      </c>
      <c r="BZ27">
        <v>0</v>
      </c>
      <c r="CA27">
        <v>0</v>
      </c>
      <c r="CB27" t="s">
        <v>462</v>
      </c>
    </row>
    <row r="28" spans="1:82" hidden="1" x14ac:dyDescent="0.35">
      <c r="A28" t="s">
        <v>180</v>
      </c>
      <c r="B28" s="11">
        <v>46047</v>
      </c>
      <c r="C28">
        <v>25</v>
      </c>
      <c r="D28" t="s">
        <v>181</v>
      </c>
      <c r="E28" t="s">
        <v>182</v>
      </c>
      <c r="F28" t="s">
        <v>183</v>
      </c>
      <c r="M28">
        <v>5.84</v>
      </c>
      <c r="N28">
        <v>600.08000000000004</v>
      </c>
      <c r="O28" t="s">
        <v>184</v>
      </c>
      <c r="P28" t="s">
        <v>340</v>
      </c>
      <c r="Q28" t="s">
        <v>265</v>
      </c>
      <c r="R28" t="s">
        <v>341</v>
      </c>
      <c r="S28" t="s">
        <v>267</v>
      </c>
      <c r="T28" t="s">
        <v>268</v>
      </c>
      <c r="U28">
        <v>9.9039999999999999</v>
      </c>
      <c r="V28" t="s">
        <v>181</v>
      </c>
      <c r="W28" t="s">
        <v>194</v>
      </c>
      <c r="X28" t="s">
        <v>223</v>
      </c>
      <c r="Y28" t="s">
        <v>396</v>
      </c>
      <c r="Z28" s="9" t="s">
        <v>395</v>
      </c>
      <c r="AB28" s="4">
        <v>8</v>
      </c>
      <c r="AC28" t="s">
        <v>394</v>
      </c>
      <c r="AD28" t="str">
        <f t="shared" si="0"/>
        <v>8-10</v>
      </c>
      <c r="AE28" t="str">
        <f t="shared" si="1"/>
        <v>8-10</v>
      </c>
      <c r="AF28" s="7" t="s">
        <v>401</v>
      </c>
      <c r="AG28" s="7">
        <v>1002</v>
      </c>
      <c r="AH28" s="3">
        <v>0.5</v>
      </c>
      <c r="AI28" s="3">
        <v>0.3</v>
      </c>
      <c r="AJ28" s="3">
        <v>0.63888888888888895</v>
      </c>
      <c r="AK28" s="3" t="s">
        <v>456</v>
      </c>
      <c r="AL28" t="s">
        <v>376</v>
      </c>
      <c r="AM28" t="s">
        <v>417</v>
      </c>
      <c r="AN28" t="s">
        <v>419</v>
      </c>
      <c r="AP28" t="s">
        <v>140</v>
      </c>
      <c r="AQ28">
        <v>1</v>
      </c>
      <c r="AR28">
        <v>1</v>
      </c>
      <c r="AS28">
        <v>1</v>
      </c>
      <c r="AT28">
        <v>1</v>
      </c>
      <c r="AU28">
        <v>0</v>
      </c>
      <c r="AV28">
        <v>0.8</v>
      </c>
      <c r="AW28">
        <v>0</v>
      </c>
      <c r="AX28">
        <v>1</v>
      </c>
      <c r="AY28">
        <v>0.5</v>
      </c>
      <c r="AZ28">
        <v>0</v>
      </c>
      <c r="BA28">
        <v>1</v>
      </c>
      <c r="BB28">
        <v>1</v>
      </c>
      <c r="BC28">
        <v>0.66666666666666663</v>
      </c>
      <c r="BD28">
        <v>1</v>
      </c>
      <c r="BE28">
        <v>0</v>
      </c>
      <c r="BF28">
        <v>1</v>
      </c>
      <c r="BG28">
        <v>0.66666666666666663</v>
      </c>
      <c r="BH28">
        <v>1</v>
      </c>
      <c r="BI28">
        <v>1</v>
      </c>
      <c r="BJ28">
        <v>1</v>
      </c>
      <c r="BK28">
        <v>1</v>
      </c>
      <c r="BL28">
        <v>0</v>
      </c>
      <c r="BM28">
        <v>0</v>
      </c>
      <c r="BN28">
        <v>0</v>
      </c>
      <c r="BO28">
        <v>0</v>
      </c>
      <c r="BP28">
        <v>0</v>
      </c>
      <c r="BQ28">
        <v>0</v>
      </c>
      <c r="BR28">
        <v>0</v>
      </c>
      <c r="BS28">
        <v>0</v>
      </c>
      <c r="BT28">
        <v>1</v>
      </c>
      <c r="BU28">
        <v>0</v>
      </c>
      <c r="BV28">
        <v>0</v>
      </c>
      <c r="BW28">
        <v>0</v>
      </c>
      <c r="BX28">
        <v>0</v>
      </c>
      <c r="BY28">
        <v>0</v>
      </c>
      <c r="BZ28">
        <v>0</v>
      </c>
      <c r="CA28">
        <v>0</v>
      </c>
      <c r="CB28" t="s">
        <v>463</v>
      </c>
    </row>
    <row r="29" spans="1:82" x14ac:dyDescent="0.35">
      <c r="A29" t="s">
        <v>185</v>
      </c>
      <c r="B29" s="11">
        <v>46028</v>
      </c>
      <c r="C29">
        <v>6</v>
      </c>
      <c r="D29" t="s">
        <v>186</v>
      </c>
      <c r="E29" t="s">
        <v>21</v>
      </c>
      <c r="F29" t="s">
        <v>187</v>
      </c>
      <c r="G29" t="s">
        <v>188</v>
      </c>
      <c r="H29" t="s">
        <v>189</v>
      </c>
      <c r="M29">
        <v>7.6</v>
      </c>
      <c r="N29">
        <v>302.16000000000003</v>
      </c>
      <c r="O29" t="s">
        <v>190</v>
      </c>
      <c r="P29" t="s">
        <v>342</v>
      </c>
      <c r="Q29" t="s">
        <v>277</v>
      </c>
      <c r="R29" t="s">
        <v>343</v>
      </c>
      <c r="S29" t="s">
        <v>279</v>
      </c>
      <c r="T29" t="s">
        <v>280</v>
      </c>
      <c r="U29">
        <v>4.9093333333333344</v>
      </c>
      <c r="V29" t="s">
        <v>186</v>
      </c>
      <c r="W29" t="s">
        <v>192</v>
      </c>
      <c r="X29" t="s">
        <v>224</v>
      </c>
      <c r="Y29" t="s">
        <v>396</v>
      </c>
      <c r="Z29" s="9" t="s">
        <v>395</v>
      </c>
      <c r="AB29" s="4">
        <v>8</v>
      </c>
      <c r="AC29" t="s">
        <v>245</v>
      </c>
      <c r="AD29" t="str">
        <f t="shared" si="0"/>
        <v>8-10</v>
      </c>
      <c r="AE29" t="str">
        <f t="shared" si="1"/>
        <v>8-10</v>
      </c>
      <c r="AF29" s="7" t="s">
        <v>401</v>
      </c>
      <c r="AG29" s="7">
        <v>1002</v>
      </c>
      <c r="AH29" s="3">
        <v>0.7</v>
      </c>
      <c r="AI29" s="3">
        <v>0.12</v>
      </c>
      <c r="AJ29" s="3">
        <v>0.60777777777777775</v>
      </c>
      <c r="AK29" s="3" t="s">
        <v>456</v>
      </c>
      <c r="AL29" t="s">
        <v>377</v>
      </c>
      <c r="AM29" t="s">
        <v>417</v>
      </c>
      <c r="AN29" t="s">
        <v>419</v>
      </c>
      <c r="AP29" t="s">
        <v>190</v>
      </c>
      <c r="AQ29">
        <v>0</v>
      </c>
      <c r="AR29">
        <v>1</v>
      </c>
      <c r="AS29">
        <v>0</v>
      </c>
      <c r="AT29">
        <v>1</v>
      </c>
      <c r="AU29">
        <v>0</v>
      </c>
      <c r="AV29">
        <v>0.4</v>
      </c>
      <c r="AW29">
        <v>1</v>
      </c>
      <c r="AX29">
        <v>1</v>
      </c>
      <c r="AY29">
        <v>1</v>
      </c>
      <c r="AZ29">
        <v>0</v>
      </c>
      <c r="BA29">
        <v>0</v>
      </c>
      <c r="BB29">
        <v>0</v>
      </c>
      <c r="BC29">
        <v>0</v>
      </c>
      <c r="BD29">
        <v>1</v>
      </c>
      <c r="BE29">
        <v>0</v>
      </c>
      <c r="BF29">
        <v>1</v>
      </c>
      <c r="BG29">
        <v>0.66666666666666663</v>
      </c>
      <c r="BH29">
        <v>1</v>
      </c>
      <c r="BI29">
        <v>1</v>
      </c>
      <c r="BJ29">
        <v>0</v>
      </c>
      <c r="BK29">
        <v>1</v>
      </c>
      <c r="BL29">
        <v>1</v>
      </c>
      <c r="BM29">
        <v>0</v>
      </c>
      <c r="BN29">
        <v>0</v>
      </c>
      <c r="BO29">
        <v>0</v>
      </c>
      <c r="BP29">
        <v>0</v>
      </c>
      <c r="BQ29">
        <v>0</v>
      </c>
      <c r="BR29">
        <v>0</v>
      </c>
      <c r="BS29">
        <v>0</v>
      </c>
      <c r="BT29">
        <v>1</v>
      </c>
      <c r="BU29">
        <v>0</v>
      </c>
      <c r="BV29">
        <v>0</v>
      </c>
      <c r="BW29">
        <v>0</v>
      </c>
      <c r="BX29">
        <v>0</v>
      </c>
      <c r="BY29">
        <v>0</v>
      </c>
      <c r="BZ29">
        <v>0</v>
      </c>
      <c r="CA29">
        <v>1</v>
      </c>
      <c r="CB29" t="s">
        <v>463</v>
      </c>
    </row>
    <row r="30" spans="1:82" x14ac:dyDescent="0.35">
      <c r="AJ30" s="3"/>
    </row>
  </sheetData>
  <autoFilter ref="A1:CD29" xr:uid="{00000000-0001-0000-0000-000000000000}">
    <filterColumn colId="78">
      <filters>
        <filter val="1"/>
      </filters>
    </filterColumn>
  </autoFilter>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ff28b3d-ef55-4e17-b36f-765ab6dbed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F4489F0E7E3FE4D88694D3CF44BB188" ma:contentTypeVersion="16" ma:contentTypeDescription="Create a new document." ma:contentTypeScope="" ma:versionID="c4daf6c34e38ddd24b467ad0abc72394">
  <xsd:schema xmlns:xsd="http://www.w3.org/2001/XMLSchema" xmlns:xs="http://www.w3.org/2001/XMLSchema" xmlns:p="http://schemas.microsoft.com/office/2006/metadata/properties" xmlns:ns3="dff28b3d-ef55-4e17-b36f-765ab6dbeda5" xmlns:ns4="a64a1003-fc12-4a9f-9129-e750a42f1066" targetNamespace="http://schemas.microsoft.com/office/2006/metadata/properties" ma:root="true" ma:fieldsID="673e426caf76bb3c06334de21ac54943" ns3:_="" ns4:_="">
    <xsd:import namespace="dff28b3d-ef55-4e17-b36f-765ab6dbeda5"/>
    <xsd:import namespace="a64a1003-fc12-4a9f-9129-e750a42f1066"/>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LengthInSeconds" minOccurs="0"/>
                <xsd:element ref="ns3:_activity" minOccurs="0"/>
                <xsd:element ref="ns3:MediaServiceAutoTags" minOccurs="0"/>
                <xsd:element ref="ns3:MediaServiceObjectDetectorVersions" minOccurs="0"/>
                <xsd:element ref="ns3:MediaServiceSearchProperties" minOccurs="0"/>
                <xsd:element ref="ns3:MediaServiceSystemTags" minOccurs="0"/>
                <xsd:element ref="ns3:MediaServiceGenerationTime" minOccurs="0"/>
                <xsd:element ref="ns3:MediaServiceEventHashCode"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f28b3d-ef55-4e17-b36f-765ab6dbed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_activity" ma:index="15" nillable="true" ma:displayName="_activity" ma:hidden="true" ma:internalName="_activity">
      <xsd:simpleType>
        <xsd:restriction base="dms:Note"/>
      </xsd:simpleType>
    </xsd:element>
    <xsd:element name="MediaServiceAutoTags" ma:index="16" nillable="true" ma:displayName="Tags" ma:internalName="MediaServiceAutoTags"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4a1003-fc12-4a9f-9129-e750a42f106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36E564-9F2A-43EA-BEC3-942781FB2EC4}">
  <ds:schemaRefs>
    <ds:schemaRef ds:uri="http://schemas.microsoft.com/office/2006/metadata/properties"/>
    <ds:schemaRef ds:uri="http://schemas.microsoft.com/office/infopath/2007/PartnerControls"/>
    <ds:schemaRef ds:uri="http://purl.org/dc/dcmitype/"/>
    <ds:schemaRef ds:uri="dff28b3d-ef55-4e17-b36f-765ab6dbeda5"/>
    <ds:schemaRef ds:uri="http://schemas.microsoft.com/office/2006/documentManagement/types"/>
    <ds:schemaRef ds:uri="http://schemas.openxmlformats.org/package/2006/metadata/core-properties"/>
    <ds:schemaRef ds:uri="http://purl.org/dc/elements/1.1/"/>
    <ds:schemaRef ds:uri="http://purl.org/dc/terms/"/>
    <ds:schemaRef ds:uri="a64a1003-fc12-4a9f-9129-e750a42f1066"/>
    <ds:schemaRef ds:uri="http://www.w3.org/XML/1998/namespace"/>
  </ds:schemaRefs>
</ds:datastoreItem>
</file>

<file path=customXml/itemProps2.xml><?xml version="1.0" encoding="utf-8"?>
<ds:datastoreItem xmlns:ds="http://schemas.openxmlformats.org/officeDocument/2006/customXml" ds:itemID="{CD205D03-3A12-4B04-9EF7-FFE2C4DBB1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f28b3d-ef55-4e17-b36f-765ab6dbeda5"/>
    <ds:schemaRef ds:uri="a64a1003-fc12-4a9f-9129-e750a42f10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E9B4E87-2799-4B8E-90C9-2AB93B9EFE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Divya Chowdhary</cp:lastModifiedBy>
  <cp:revision/>
  <dcterms:created xsi:type="dcterms:W3CDTF">2025-09-24T07:56:11Z</dcterms:created>
  <dcterms:modified xsi:type="dcterms:W3CDTF">2026-02-10T13:50:43Z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0x0101006F4489F0E7E3FE4D88694D3CF44BB188</vt:lpwstr>
  </property>
</Properties>
</file>